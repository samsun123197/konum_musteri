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perasyon\Desktop\"/>
    </mc:Choice>
  </mc:AlternateContent>
  <bookViews>
    <workbookView xWindow="0" yWindow="0" windowWidth="23040" windowHeight="9084"/>
  </bookViews>
  <sheets>
    <sheet name="Musteri Listesi Raporu" sheetId="1" r:id="rId1"/>
  </sheets>
  <externalReferences>
    <externalReference r:id="rId2"/>
  </externalReferences>
  <definedNames>
    <definedName name="_xlnm._FilterDatabase" localSheetId="0" hidden="1">'Musteri Listesi Raporu'!$A$1:$P$1041</definedName>
  </definedNames>
  <calcPr calcId="162913"/>
</workbook>
</file>

<file path=xl/calcChain.xml><?xml version="1.0" encoding="utf-8"?>
<calcChain xmlns="http://schemas.openxmlformats.org/spreadsheetml/2006/main">
  <c r="J1043" i="1" l="1"/>
  <c r="K1043" i="1"/>
  <c r="L1043" i="1"/>
  <c r="J1044" i="1"/>
  <c r="K1044" i="1"/>
  <c r="L1044" i="1"/>
  <c r="J1045" i="1"/>
  <c r="K1045" i="1"/>
  <c r="L1045" i="1"/>
  <c r="J1046" i="1"/>
  <c r="K1046" i="1"/>
  <c r="L1046" i="1"/>
  <c r="J1047" i="1"/>
  <c r="K1047" i="1"/>
  <c r="L1047" i="1"/>
  <c r="J1048" i="1"/>
  <c r="K1048" i="1"/>
  <c r="L1048" i="1"/>
  <c r="J1049" i="1"/>
  <c r="K1049" i="1"/>
  <c r="L1049" i="1"/>
  <c r="J1050" i="1"/>
  <c r="K1050" i="1"/>
  <c r="L1050" i="1"/>
  <c r="J1051" i="1"/>
  <c r="K1051" i="1"/>
  <c r="L1051" i="1"/>
  <c r="J1052" i="1"/>
  <c r="K1052" i="1"/>
  <c r="L1052" i="1"/>
  <c r="J1053" i="1"/>
  <c r="K1053" i="1"/>
  <c r="L1053" i="1"/>
  <c r="J1054" i="1"/>
  <c r="K1054" i="1"/>
  <c r="L1054" i="1"/>
  <c r="J1055" i="1"/>
  <c r="K1055" i="1"/>
  <c r="L1055" i="1"/>
  <c r="J1056" i="1"/>
  <c r="K1056" i="1"/>
  <c r="L1056" i="1"/>
  <c r="J1057" i="1"/>
  <c r="K1057" i="1"/>
  <c r="L1057" i="1"/>
  <c r="J1058" i="1"/>
  <c r="K1058" i="1"/>
  <c r="L1058" i="1"/>
  <c r="J1059" i="1"/>
  <c r="K1059" i="1"/>
  <c r="L1059" i="1"/>
  <c r="J1060" i="1"/>
  <c r="K1060" i="1"/>
  <c r="L1060" i="1"/>
  <c r="J1061" i="1"/>
  <c r="K1061" i="1"/>
  <c r="L1061" i="1"/>
  <c r="J1062" i="1"/>
  <c r="K1062" i="1"/>
  <c r="L1062" i="1"/>
  <c r="J1063" i="1"/>
  <c r="K1063" i="1"/>
  <c r="L1063" i="1"/>
  <c r="J1064" i="1"/>
  <c r="K1064" i="1"/>
  <c r="L1064" i="1"/>
  <c r="J1065" i="1"/>
  <c r="K1065" i="1"/>
  <c r="L1065" i="1"/>
  <c r="J1066" i="1"/>
  <c r="K1066" i="1"/>
  <c r="L1066" i="1"/>
  <c r="J1067" i="1"/>
  <c r="K1067" i="1"/>
  <c r="L1067" i="1"/>
  <c r="J1068" i="1"/>
  <c r="K1068" i="1"/>
  <c r="L1068" i="1"/>
  <c r="J1069" i="1"/>
  <c r="K1069" i="1"/>
  <c r="L1069" i="1"/>
  <c r="J1070" i="1"/>
  <c r="K1070" i="1"/>
  <c r="L1070" i="1"/>
  <c r="J1071" i="1"/>
  <c r="K1071" i="1"/>
  <c r="L1071" i="1"/>
  <c r="J1072" i="1"/>
  <c r="K1072" i="1"/>
  <c r="L1072" i="1"/>
  <c r="J1073" i="1"/>
  <c r="K1073" i="1"/>
  <c r="L1073" i="1"/>
  <c r="J1074" i="1"/>
  <c r="K1074" i="1"/>
  <c r="L1074" i="1"/>
  <c r="J1075" i="1"/>
  <c r="K1075" i="1"/>
  <c r="L1075" i="1"/>
  <c r="J1076" i="1"/>
  <c r="K1076" i="1"/>
  <c r="L1076" i="1"/>
  <c r="J1077" i="1"/>
  <c r="K1077" i="1"/>
  <c r="L1077" i="1"/>
  <c r="J1078" i="1"/>
  <c r="K1078" i="1"/>
  <c r="L1078" i="1"/>
  <c r="J1079" i="1"/>
  <c r="K1079" i="1"/>
  <c r="L1079" i="1"/>
  <c r="J1080" i="1"/>
  <c r="K1080" i="1"/>
  <c r="L1080" i="1"/>
  <c r="J1081" i="1"/>
  <c r="K1081" i="1"/>
  <c r="L1081" i="1"/>
  <c r="J1082" i="1"/>
  <c r="K1082" i="1"/>
  <c r="L1082" i="1"/>
  <c r="J1083" i="1"/>
  <c r="K1083" i="1"/>
  <c r="L1083" i="1"/>
  <c r="J1084" i="1"/>
  <c r="K1084" i="1"/>
  <c r="L1084" i="1"/>
  <c r="J1085" i="1"/>
  <c r="K1085" i="1"/>
  <c r="L1085" i="1"/>
  <c r="J1086" i="1"/>
  <c r="K1086" i="1"/>
  <c r="L1086" i="1"/>
  <c r="J1087" i="1"/>
  <c r="K1087" i="1"/>
  <c r="L1087" i="1"/>
  <c r="J1088" i="1"/>
  <c r="K1088" i="1"/>
  <c r="L1088" i="1"/>
  <c r="J1089" i="1"/>
  <c r="K1089" i="1"/>
  <c r="L1089" i="1"/>
  <c r="J1090" i="1"/>
  <c r="K1090" i="1"/>
  <c r="L1090" i="1"/>
  <c r="J1091" i="1"/>
  <c r="K1091" i="1"/>
  <c r="L1091" i="1"/>
  <c r="J1092" i="1"/>
  <c r="K1092" i="1"/>
  <c r="L1092" i="1"/>
  <c r="J1093" i="1"/>
  <c r="K1093" i="1"/>
  <c r="L1093" i="1"/>
  <c r="J1094" i="1"/>
  <c r="K1094" i="1"/>
  <c r="L1094" i="1"/>
  <c r="J1095" i="1"/>
  <c r="K1095" i="1"/>
  <c r="L1095" i="1"/>
  <c r="J1096" i="1"/>
  <c r="K1096" i="1"/>
  <c r="L1096" i="1"/>
  <c r="J1097" i="1"/>
  <c r="K1097" i="1"/>
  <c r="L1097" i="1"/>
  <c r="J1098" i="1"/>
  <c r="K1098" i="1"/>
  <c r="L1098" i="1"/>
  <c r="J1099" i="1"/>
  <c r="K1099" i="1"/>
  <c r="L1099" i="1"/>
  <c r="J1100" i="1"/>
  <c r="K1100" i="1"/>
  <c r="L1100" i="1"/>
  <c r="J1101" i="1"/>
  <c r="K1101" i="1"/>
  <c r="L1101" i="1"/>
  <c r="J1102" i="1"/>
  <c r="K1102" i="1"/>
  <c r="L1102" i="1"/>
  <c r="J1103" i="1"/>
  <c r="K1103" i="1"/>
  <c r="L1103" i="1"/>
  <c r="J1104" i="1"/>
  <c r="K1104" i="1"/>
  <c r="L1104" i="1"/>
  <c r="J1105" i="1"/>
  <c r="K1105" i="1"/>
  <c r="L1105" i="1"/>
  <c r="J1106" i="1"/>
  <c r="K1106" i="1"/>
  <c r="L1106" i="1"/>
  <c r="J1107" i="1"/>
  <c r="K1107" i="1"/>
  <c r="L1107" i="1"/>
  <c r="J1108" i="1"/>
  <c r="K1108" i="1"/>
  <c r="L1108" i="1"/>
  <c r="J1109" i="1"/>
  <c r="K1109" i="1"/>
  <c r="L1109" i="1"/>
  <c r="J1110" i="1"/>
  <c r="K1110" i="1"/>
  <c r="L1110" i="1"/>
  <c r="J1111" i="1"/>
  <c r="K1111" i="1"/>
  <c r="L1111" i="1"/>
  <c r="J1112" i="1"/>
  <c r="K1112" i="1"/>
  <c r="L1112" i="1"/>
  <c r="J1113" i="1"/>
  <c r="K1113" i="1"/>
  <c r="L1113" i="1"/>
  <c r="J1114" i="1"/>
  <c r="K1114" i="1"/>
  <c r="L1114" i="1"/>
  <c r="J1115" i="1"/>
  <c r="K1115" i="1"/>
  <c r="L1115" i="1"/>
  <c r="J1116" i="1"/>
  <c r="K1116" i="1"/>
  <c r="L1116" i="1"/>
  <c r="J1117" i="1"/>
  <c r="K1117" i="1"/>
  <c r="L1117" i="1"/>
  <c r="J1118" i="1"/>
  <c r="K1118" i="1"/>
  <c r="L1118" i="1"/>
  <c r="J1119" i="1"/>
  <c r="K1119" i="1"/>
  <c r="L1119" i="1"/>
  <c r="J1120" i="1"/>
  <c r="K1120" i="1"/>
  <c r="L1120" i="1"/>
  <c r="J1121" i="1"/>
  <c r="K1121" i="1"/>
  <c r="L1121" i="1"/>
  <c r="J1122" i="1"/>
  <c r="K1122" i="1"/>
  <c r="L1122" i="1"/>
  <c r="J1123" i="1"/>
  <c r="K1123" i="1"/>
  <c r="L1123" i="1"/>
  <c r="J1124" i="1"/>
  <c r="K1124" i="1"/>
  <c r="L1124" i="1"/>
  <c r="J1125" i="1"/>
  <c r="K1125" i="1"/>
  <c r="L1125" i="1"/>
  <c r="J1126" i="1"/>
  <c r="K1126" i="1"/>
  <c r="L1126" i="1"/>
  <c r="J1127" i="1"/>
  <c r="K1127" i="1"/>
  <c r="L1127" i="1"/>
  <c r="J1128" i="1"/>
  <c r="K1128" i="1"/>
  <c r="L1128" i="1"/>
  <c r="J1129" i="1"/>
  <c r="K1129" i="1"/>
  <c r="L1129" i="1"/>
  <c r="J1130" i="1"/>
  <c r="K1130" i="1"/>
  <c r="L1130" i="1"/>
  <c r="J1131" i="1"/>
  <c r="K1131" i="1"/>
  <c r="L1131" i="1"/>
  <c r="J1132" i="1"/>
  <c r="K1132" i="1"/>
  <c r="L1132" i="1"/>
  <c r="J1133" i="1"/>
  <c r="K1133" i="1"/>
  <c r="L1133" i="1"/>
  <c r="J1134" i="1"/>
  <c r="K1134" i="1"/>
  <c r="L1134" i="1"/>
  <c r="J1135" i="1"/>
  <c r="K1135" i="1"/>
  <c r="L1135" i="1"/>
  <c r="J1136" i="1"/>
  <c r="K1136" i="1"/>
  <c r="L1136" i="1"/>
  <c r="J1137" i="1"/>
  <c r="K1137" i="1"/>
  <c r="L1137" i="1"/>
  <c r="J1138" i="1"/>
  <c r="K1138" i="1"/>
  <c r="L1138" i="1"/>
  <c r="J1139" i="1"/>
  <c r="K1139" i="1"/>
  <c r="L1139" i="1"/>
  <c r="J1140" i="1"/>
  <c r="K1140" i="1"/>
  <c r="L1140" i="1"/>
  <c r="J1141" i="1"/>
  <c r="K1141" i="1"/>
  <c r="L1141" i="1"/>
  <c r="J1142" i="1"/>
  <c r="K1142" i="1"/>
  <c r="L1142" i="1"/>
  <c r="J1143" i="1"/>
  <c r="K1143" i="1"/>
  <c r="L1143" i="1"/>
  <c r="J1144" i="1"/>
  <c r="K1144" i="1"/>
  <c r="L1144" i="1"/>
  <c r="J1145" i="1"/>
  <c r="K1145" i="1"/>
  <c r="L1145" i="1"/>
  <c r="J1146" i="1"/>
  <c r="K1146" i="1"/>
  <c r="L1146" i="1"/>
  <c r="J1147" i="1"/>
  <c r="K1147" i="1"/>
  <c r="L1147" i="1"/>
  <c r="J1148" i="1"/>
  <c r="K1148" i="1"/>
  <c r="L1148" i="1"/>
  <c r="J1149" i="1"/>
  <c r="K1149" i="1"/>
  <c r="L1149" i="1"/>
  <c r="J1150" i="1"/>
  <c r="K1150" i="1"/>
  <c r="L1150" i="1"/>
  <c r="J1151" i="1"/>
  <c r="K1151" i="1"/>
  <c r="L1151" i="1"/>
  <c r="J1152" i="1"/>
  <c r="K1152" i="1"/>
  <c r="L1152" i="1"/>
  <c r="J1153" i="1"/>
  <c r="K1153" i="1"/>
  <c r="L1153" i="1"/>
  <c r="J1154" i="1"/>
  <c r="K1154" i="1"/>
  <c r="L1154" i="1"/>
  <c r="J1155" i="1"/>
  <c r="K1155" i="1"/>
  <c r="L1155" i="1"/>
  <c r="J1156" i="1"/>
  <c r="K1156" i="1"/>
  <c r="L1156" i="1"/>
  <c r="J1157" i="1"/>
  <c r="K1157" i="1"/>
  <c r="L1157" i="1"/>
  <c r="J1158" i="1"/>
  <c r="K1158" i="1"/>
  <c r="L1158" i="1"/>
  <c r="J1159" i="1"/>
  <c r="K1159" i="1"/>
  <c r="L1159" i="1"/>
  <c r="J1160" i="1"/>
  <c r="K1160" i="1"/>
  <c r="L1160" i="1"/>
  <c r="J1161" i="1"/>
  <c r="K1161" i="1"/>
  <c r="L1161" i="1"/>
  <c r="J1162" i="1"/>
  <c r="K1162" i="1"/>
  <c r="L1162" i="1"/>
  <c r="J1163" i="1"/>
  <c r="K1163" i="1"/>
  <c r="L1163" i="1"/>
  <c r="J1164" i="1"/>
  <c r="K1164" i="1"/>
  <c r="L1164" i="1"/>
  <c r="J1165" i="1"/>
  <c r="K1165" i="1"/>
  <c r="L1165" i="1"/>
  <c r="J1166" i="1"/>
  <c r="K1166" i="1"/>
  <c r="L1166" i="1"/>
  <c r="J1167" i="1"/>
  <c r="K1167" i="1"/>
  <c r="L1167" i="1"/>
  <c r="J1168" i="1"/>
  <c r="K1168" i="1"/>
  <c r="L1168" i="1"/>
  <c r="J1169" i="1"/>
  <c r="K1169" i="1"/>
  <c r="L1169" i="1"/>
  <c r="J1170" i="1"/>
  <c r="K1170" i="1"/>
  <c r="L1170" i="1"/>
  <c r="J1171" i="1"/>
  <c r="K1171" i="1"/>
  <c r="L1171" i="1"/>
  <c r="J1172" i="1"/>
  <c r="K1172" i="1"/>
  <c r="L1172" i="1"/>
  <c r="J1173" i="1"/>
  <c r="K1173" i="1"/>
  <c r="L1173" i="1"/>
  <c r="J1174" i="1"/>
  <c r="K1174" i="1"/>
  <c r="L1174" i="1"/>
  <c r="J1175" i="1"/>
  <c r="K1175" i="1"/>
  <c r="L1175" i="1"/>
  <c r="J1176" i="1"/>
  <c r="K1176" i="1"/>
  <c r="L1176" i="1"/>
  <c r="J1177" i="1"/>
  <c r="K1177" i="1"/>
  <c r="L1177" i="1"/>
  <c r="J1178" i="1"/>
  <c r="K1178" i="1"/>
  <c r="L1178" i="1"/>
  <c r="J1179" i="1"/>
  <c r="K1179" i="1"/>
  <c r="L1179" i="1"/>
  <c r="J1180" i="1"/>
  <c r="K1180" i="1"/>
  <c r="L1180" i="1"/>
  <c r="J1181" i="1"/>
  <c r="K1181" i="1"/>
  <c r="L1181" i="1"/>
  <c r="J1182" i="1"/>
  <c r="K1182" i="1"/>
  <c r="L1182" i="1"/>
  <c r="J1183" i="1"/>
  <c r="K1183" i="1"/>
  <c r="L1183" i="1"/>
  <c r="J1184" i="1"/>
  <c r="K1184" i="1"/>
  <c r="L1184" i="1"/>
  <c r="J1185" i="1"/>
  <c r="K1185" i="1"/>
  <c r="L1185" i="1"/>
  <c r="J1186" i="1"/>
  <c r="K1186" i="1"/>
  <c r="L1186" i="1"/>
  <c r="J1187" i="1"/>
  <c r="K1187" i="1"/>
  <c r="L1187" i="1"/>
  <c r="J1188" i="1"/>
  <c r="K1188" i="1"/>
  <c r="L1188" i="1"/>
  <c r="J1189" i="1"/>
  <c r="K1189" i="1"/>
  <c r="L1189" i="1"/>
  <c r="J1190" i="1"/>
  <c r="K1190" i="1"/>
  <c r="L1190" i="1"/>
  <c r="J1191" i="1"/>
  <c r="K1191" i="1"/>
  <c r="L1191" i="1"/>
  <c r="J1192" i="1"/>
  <c r="K1192" i="1"/>
  <c r="L1192" i="1"/>
  <c r="J1193" i="1"/>
  <c r="K1193" i="1"/>
  <c r="L1193" i="1"/>
  <c r="J1194" i="1"/>
  <c r="K1194" i="1"/>
  <c r="L1194" i="1"/>
  <c r="J1195" i="1"/>
  <c r="K1195" i="1"/>
  <c r="L1195" i="1"/>
  <c r="J1196" i="1"/>
  <c r="K1196" i="1"/>
  <c r="L1196" i="1"/>
  <c r="J1197" i="1"/>
  <c r="K1197" i="1"/>
  <c r="L1197" i="1"/>
  <c r="J1198" i="1"/>
  <c r="K1198" i="1"/>
  <c r="L1198" i="1"/>
  <c r="J1199" i="1"/>
  <c r="K1199" i="1"/>
  <c r="L1199" i="1"/>
  <c r="J1200" i="1"/>
  <c r="K1200" i="1"/>
  <c r="L1200" i="1"/>
  <c r="J1201" i="1"/>
  <c r="K1201" i="1"/>
  <c r="L1201" i="1"/>
  <c r="J1202" i="1"/>
  <c r="K1202" i="1"/>
  <c r="L1202" i="1"/>
  <c r="J1203" i="1"/>
  <c r="K1203" i="1"/>
  <c r="L1203" i="1"/>
  <c r="J1204" i="1"/>
  <c r="K1204" i="1"/>
  <c r="L1204" i="1"/>
  <c r="J1205" i="1"/>
  <c r="K1205" i="1"/>
  <c r="L1205" i="1"/>
  <c r="J1206" i="1"/>
  <c r="K1206" i="1"/>
  <c r="L1206" i="1"/>
  <c r="J1207" i="1"/>
  <c r="K1207" i="1"/>
  <c r="L1207" i="1"/>
  <c r="J1208" i="1"/>
  <c r="K1208" i="1"/>
  <c r="L1208" i="1"/>
  <c r="J1209" i="1"/>
  <c r="K1209" i="1"/>
  <c r="L1209" i="1"/>
  <c r="J1210" i="1"/>
  <c r="K1210" i="1"/>
  <c r="L1210" i="1"/>
  <c r="J1211" i="1"/>
  <c r="K1211" i="1"/>
  <c r="L1211" i="1"/>
  <c r="J1212" i="1"/>
  <c r="K1212" i="1"/>
  <c r="L1212" i="1"/>
  <c r="J1213" i="1"/>
  <c r="K1213" i="1"/>
  <c r="L1213" i="1"/>
  <c r="J1214" i="1"/>
  <c r="K1214" i="1"/>
  <c r="L1214" i="1"/>
  <c r="J1215" i="1"/>
  <c r="K1215" i="1"/>
  <c r="L1215" i="1"/>
  <c r="J1216" i="1"/>
  <c r="K1216" i="1"/>
  <c r="L1216" i="1"/>
  <c r="J1217" i="1"/>
  <c r="K1217" i="1"/>
  <c r="L1217" i="1"/>
  <c r="J1218" i="1"/>
  <c r="K1218" i="1"/>
  <c r="L1218" i="1"/>
  <c r="J1219" i="1"/>
  <c r="K1219" i="1"/>
  <c r="L1219" i="1"/>
  <c r="J1220" i="1"/>
  <c r="K1220" i="1"/>
  <c r="L1220" i="1"/>
  <c r="J1221" i="1"/>
  <c r="K1221" i="1"/>
  <c r="L1221" i="1"/>
  <c r="J1222" i="1"/>
  <c r="K1222" i="1"/>
  <c r="L1222" i="1"/>
  <c r="J1223" i="1"/>
  <c r="K1223" i="1"/>
  <c r="L1223" i="1"/>
  <c r="J1224" i="1"/>
  <c r="K1224" i="1"/>
  <c r="L1224" i="1"/>
  <c r="J1225" i="1"/>
  <c r="K1225" i="1"/>
  <c r="L1225" i="1"/>
  <c r="J1226" i="1"/>
  <c r="K1226" i="1"/>
  <c r="L1226" i="1"/>
  <c r="J1227" i="1"/>
  <c r="K1227" i="1"/>
  <c r="L1227" i="1"/>
  <c r="J1228" i="1"/>
  <c r="K1228" i="1"/>
  <c r="L1228" i="1"/>
  <c r="J1229" i="1"/>
  <c r="K1229" i="1"/>
  <c r="L1229" i="1"/>
  <c r="J1230" i="1"/>
  <c r="K1230" i="1"/>
  <c r="L1230" i="1"/>
  <c r="J1231" i="1"/>
  <c r="K1231" i="1"/>
  <c r="L1231" i="1"/>
  <c r="J1232" i="1"/>
  <c r="K1232" i="1"/>
  <c r="L1232" i="1"/>
  <c r="J1233" i="1"/>
  <c r="K1233" i="1"/>
  <c r="L1233" i="1"/>
  <c r="J1234" i="1"/>
  <c r="K1234" i="1"/>
  <c r="L1234" i="1"/>
  <c r="J1235" i="1"/>
  <c r="K1235" i="1"/>
  <c r="L1235" i="1"/>
  <c r="J1236" i="1"/>
  <c r="K1236" i="1"/>
  <c r="L1236" i="1"/>
  <c r="J1237" i="1"/>
  <c r="K1237" i="1"/>
  <c r="L1237" i="1"/>
  <c r="J1238" i="1"/>
  <c r="K1238" i="1"/>
  <c r="L1238" i="1"/>
  <c r="J1239" i="1"/>
  <c r="K1239" i="1"/>
  <c r="L1239" i="1"/>
  <c r="J1240" i="1"/>
  <c r="K1240" i="1"/>
  <c r="L1240" i="1"/>
  <c r="J1241" i="1"/>
  <c r="K1241" i="1"/>
  <c r="L1241" i="1"/>
  <c r="J1242" i="1"/>
  <c r="K1242" i="1"/>
  <c r="L1242" i="1"/>
  <c r="J1243" i="1"/>
  <c r="K1243" i="1"/>
  <c r="L1243" i="1"/>
  <c r="J1244" i="1"/>
  <c r="K1244" i="1"/>
  <c r="L1244" i="1"/>
  <c r="J1245" i="1"/>
  <c r="K1245" i="1"/>
  <c r="L1245" i="1"/>
  <c r="J1246" i="1"/>
  <c r="K1246" i="1"/>
  <c r="L1246" i="1"/>
  <c r="J1247" i="1"/>
  <c r="K1247" i="1"/>
  <c r="L1247" i="1"/>
  <c r="J1248" i="1"/>
  <c r="K1248" i="1"/>
  <c r="L1248" i="1"/>
  <c r="J1249" i="1"/>
  <c r="K1249" i="1"/>
  <c r="L1249" i="1"/>
  <c r="J1250" i="1"/>
  <c r="K1250" i="1"/>
  <c r="L1250" i="1"/>
  <c r="J1251" i="1"/>
  <c r="K1251" i="1"/>
  <c r="L1251" i="1"/>
  <c r="J1252" i="1"/>
  <c r="K1252" i="1"/>
  <c r="L1252" i="1"/>
  <c r="J1253" i="1"/>
  <c r="K1253" i="1"/>
  <c r="L1253" i="1"/>
  <c r="J1254" i="1"/>
  <c r="K1254" i="1"/>
  <c r="L1254" i="1"/>
  <c r="J1255" i="1"/>
  <c r="K1255" i="1"/>
  <c r="L1255" i="1"/>
  <c r="J1256" i="1"/>
  <c r="K1256" i="1"/>
  <c r="L1256" i="1"/>
  <c r="J1257" i="1"/>
  <c r="K1257" i="1"/>
  <c r="L1257" i="1"/>
  <c r="J1258" i="1"/>
  <c r="K1258" i="1"/>
  <c r="L1258" i="1"/>
  <c r="J1259" i="1"/>
  <c r="K1259" i="1"/>
  <c r="L1259" i="1"/>
  <c r="J1260" i="1"/>
  <c r="K1260" i="1"/>
  <c r="L1260" i="1"/>
  <c r="J1261" i="1"/>
  <c r="K1261" i="1"/>
  <c r="L1261" i="1"/>
  <c r="J1262" i="1"/>
  <c r="K1262" i="1"/>
  <c r="L1262" i="1"/>
  <c r="J1263" i="1"/>
  <c r="K1263" i="1"/>
  <c r="L1263" i="1"/>
  <c r="J1264" i="1"/>
  <c r="K1264" i="1"/>
  <c r="L1264" i="1"/>
  <c r="J1265" i="1"/>
  <c r="K1265" i="1"/>
  <c r="L1265" i="1"/>
  <c r="J1266" i="1"/>
  <c r="K1266" i="1"/>
  <c r="L1266" i="1"/>
  <c r="J1267" i="1"/>
  <c r="K1267" i="1"/>
  <c r="L1267" i="1"/>
  <c r="J1268" i="1"/>
  <c r="K1268" i="1"/>
  <c r="L1268" i="1"/>
  <c r="J1269" i="1"/>
  <c r="K1269" i="1"/>
  <c r="L1269" i="1"/>
  <c r="J1270" i="1"/>
  <c r="K1270" i="1"/>
  <c r="L1270" i="1"/>
  <c r="J1271" i="1"/>
  <c r="K1271" i="1"/>
  <c r="L1271" i="1"/>
  <c r="J1272" i="1"/>
  <c r="K1272" i="1"/>
  <c r="L1272" i="1"/>
  <c r="J1273" i="1"/>
  <c r="K1273" i="1"/>
  <c r="L1273" i="1"/>
  <c r="J1274" i="1"/>
  <c r="K1274" i="1"/>
  <c r="L1274" i="1"/>
  <c r="J1275" i="1"/>
  <c r="K1275" i="1"/>
  <c r="L1275" i="1"/>
  <c r="J1276" i="1"/>
  <c r="K1276" i="1"/>
  <c r="L1276" i="1"/>
  <c r="J1277" i="1"/>
  <c r="K1277" i="1"/>
  <c r="L1277" i="1"/>
  <c r="J1278" i="1"/>
  <c r="K1278" i="1"/>
  <c r="L1278" i="1"/>
  <c r="J1279" i="1"/>
  <c r="K1279" i="1"/>
  <c r="L1279" i="1"/>
  <c r="J1280" i="1"/>
  <c r="K1280" i="1"/>
  <c r="L1280" i="1"/>
  <c r="J1281" i="1"/>
  <c r="K1281" i="1"/>
  <c r="L1281" i="1"/>
  <c r="J1282" i="1"/>
  <c r="K1282" i="1"/>
  <c r="L1282" i="1"/>
  <c r="J1283" i="1"/>
  <c r="K1283" i="1"/>
  <c r="L1283" i="1"/>
  <c r="J1284" i="1"/>
  <c r="K1284" i="1"/>
  <c r="L1284" i="1"/>
  <c r="J1285" i="1"/>
  <c r="K1285" i="1"/>
  <c r="L1285" i="1"/>
  <c r="J1286" i="1"/>
  <c r="K1286" i="1"/>
  <c r="L1286" i="1"/>
  <c r="J1287" i="1"/>
  <c r="K1287" i="1"/>
  <c r="L1287" i="1"/>
  <c r="J1288" i="1"/>
  <c r="K1288" i="1"/>
  <c r="L1288" i="1"/>
  <c r="J1289" i="1"/>
  <c r="K1289" i="1"/>
  <c r="L1289" i="1"/>
  <c r="J1290" i="1"/>
  <c r="K1290" i="1"/>
  <c r="L1290" i="1"/>
  <c r="J1291" i="1"/>
  <c r="K1291" i="1"/>
  <c r="L1291" i="1"/>
  <c r="J1292" i="1"/>
  <c r="K1292" i="1"/>
  <c r="L1292" i="1"/>
  <c r="J1293" i="1"/>
  <c r="K1293" i="1"/>
  <c r="L1293" i="1"/>
  <c r="J1294" i="1"/>
  <c r="K1294" i="1"/>
  <c r="L1294" i="1"/>
  <c r="J1295" i="1"/>
  <c r="K1295" i="1"/>
  <c r="L1295" i="1"/>
  <c r="J1296" i="1"/>
  <c r="K1296" i="1"/>
  <c r="L1296" i="1"/>
  <c r="J1297" i="1"/>
  <c r="K1297" i="1"/>
  <c r="L1297" i="1"/>
  <c r="J1298" i="1"/>
  <c r="K1298" i="1"/>
  <c r="L1298" i="1"/>
  <c r="J1299" i="1"/>
  <c r="K1299" i="1"/>
  <c r="L1299" i="1"/>
  <c r="J1300" i="1"/>
  <c r="K1300" i="1"/>
  <c r="L1300" i="1"/>
  <c r="J1301" i="1"/>
  <c r="K1301" i="1"/>
  <c r="L1301" i="1"/>
  <c r="J1302" i="1"/>
  <c r="K1302" i="1"/>
  <c r="L1302" i="1"/>
  <c r="J1303" i="1"/>
  <c r="K1303" i="1"/>
  <c r="L1303" i="1"/>
  <c r="J1304" i="1"/>
  <c r="K1304" i="1"/>
  <c r="L1304" i="1"/>
  <c r="J1305" i="1"/>
  <c r="K1305" i="1"/>
  <c r="L1305" i="1"/>
  <c r="J1306" i="1"/>
  <c r="K1306" i="1"/>
  <c r="L1306" i="1"/>
  <c r="J1307" i="1"/>
  <c r="K1307" i="1"/>
  <c r="L1307" i="1"/>
  <c r="J1308" i="1"/>
  <c r="K1308" i="1"/>
  <c r="L1308" i="1"/>
  <c r="J1309" i="1"/>
  <c r="K1309" i="1"/>
  <c r="L1309" i="1"/>
  <c r="J1310" i="1"/>
  <c r="K1310" i="1"/>
  <c r="L1310" i="1"/>
  <c r="J1311" i="1"/>
  <c r="K1311" i="1"/>
  <c r="L1311" i="1"/>
  <c r="J1312" i="1"/>
  <c r="K1312" i="1"/>
  <c r="L1312" i="1"/>
  <c r="J1313" i="1"/>
  <c r="K1313" i="1"/>
  <c r="L1313" i="1"/>
  <c r="J1314" i="1"/>
  <c r="K1314" i="1"/>
  <c r="L1314" i="1"/>
  <c r="J1315" i="1"/>
  <c r="K1315" i="1"/>
  <c r="L1315" i="1"/>
  <c r="J1316" i="1"/>
  <c r="K1316" i="1"/>
  <c r="L1316" i="1"/>
  <c r="J1317" i="1"/>
  <c r="K1317" i="1"/>
  <c r="L1317" i="1"/>
  <c r="J1318" i="1"/>
  <c r="K1318" i="1"/>
  <c r="L1318" i="1"/>
  <c r="J1319" i="1"/>
  <c r="K1319" i="1"/>
  <c r="L1319" i="1"/>
  <c r="J1320" i="1"/>
  <c r="K1320" i="1"/>
  <c r="L1320" i="1"/>
  <c r="J1321" i="1"/>
  <c r="K1321" i="1"/>
  <c r="L1321" i="1"/>
  <c r="J1322" i="1"/>
  <c r="K1322" i="1"/>
  <c r="L1322" i="1"/>
  <c r="J1323" i="1"/>
  <c r="K1323" i="1"/>
  <c r="L1323" i="1"/>
  <c r="J1324" i="1"/>
  <c r="K1324" i="1"/>
  <c r="L1324" i="1"/>
  <c r="J1325" i="1"/>
  <c r="K1325" i="1"/>
  <c r="L1325" i="1"/>
  <c r="J1326" i="1"/>
  <c r="K1326" i="1"/>
  <c r="L1326" i="1"/>
  <c r="J1327" i="1"/>
  <c r="K1327" i="1"/>
  <c r="L1327" i="1"/>
  <c r="J1328" i="1"/>
  <c r="K1328" i="1"/>
  <c r="L1328" i="1"/>
  <c r="J1329" i="1"/>
  <c r="K1329" i="1"/>
  <c r="L1329" i="1"/>
  <c r="J1330" i="1"/>
  <c r="K1330" i="1"/>
  <c r="L1330" i="1"/>
  <c r="J1331" i="1"/>
  <c r="K1331" i="1"/>
  <c r="L1331" i="1"/>
  <c r="J1332" i="1"/>
  <c r="K1332" i="1"/>
  <c r="L1332" i="1"/>
  <c r="J1333" i="1"/>
  <c r="K1333" i="1"/>
  <c r="L1333" i="1"/>
  <c r="J1334" i="1"/>
  <c r="K1334" i="1"/>
  <c r="L1334" i="1"/>
  <c r="J1335" i="1"/>
  <c r="K1335" i="1"/>
  <c r="L1335" i="1"/>
  <c r="J1336" i="1"/>
  <c r="K1336" i="1"/>
  <c r="L1336" i="1"/>
  <c r="J1337" i="1"/>
  <c r="K1337" i="1"/>
  <c r="L1337" i="1"/>
  <c r="J1338" i="1"/>
  <c r="K1338" i="1"/>
  <c r="L1338" i="1"/>
  <c r="J1339" i="1"/>
  <c r="K1339" i="1"/>
  <c r="L1339" i="1"/>
  <c r="J1340" i="1"/>
  <c r="K1340" i="1"/>
  <c r="L1340" i="1"/>
  <c r="J1341" i="1"/>
  <c r="K1341" i="1"/>
  <c r="L1341" i="1"/>
  <c r="J1342" i="1"/>
  <c r="K1342" i="1"/>
  <c r="L1342" i="1"/>
  <c r="J1343" i="1"/>
  <c r="K1343" i="1"/>
  <c r="L1343" i="1"/>
  <c r="J1344" i="1"/>
  <c r="K1344" i="1"/>
  <c r="L1344" i="1"/>
  <c r="J1345" i="1"/>
  <c r="K1345" i="1"/>
  <c r="L1345" i="1"/>
  <c r="J1346" i="1"/>
  <c r="K1346" i="1"/>
  <c r="L1346" i="1"/>
  <c r="J1347" i="1"/>
  <c r="K1347" i="1"/>
  <c r="L1347" i="1"/>
  <c r="J1348" i="1"/>
  <c r="K1348" i="1"/>
  <c r="L1348" i="1"/>
  <c r="J1349" i="1"/>
  <c r="K1349" i="1"/>
  <c r="L1349" i="1"/>
  <c r="J1350" i="1"/>
  <c r="K1350" i="1"/>
  <c r="L1350" i="1"/>
  <c r="J1351" i="1"/>
  <c r="K1351" i="1"/>
  <c r="L1351" i="1"/>
  <c r="J1352" i="1"/>
  <c r="K1352" i="1"/>
  <c r="L1352" i="1"/>
  <c r="J1353" i="1"/>
  <c r="K1353" i="1"/>
  <c r="L1353" i="1"/>
  <c r="J1354" i="1"/>
  <c r="K1354" i="1"/>
  <c r="L1354" i="1"/>
  <c r="J1355" i="1"/>
  <c r="K1355" i="1"/>
  <c r="L1355" i="1"/>
  <c r="J1356" i="1"/>
  <c r="K1356" i="1"/>
  <c r="L1356" i="1"/>
  <c r="J1357" i="1"/>
  <c r="K1357" i="1"/>
  <c r="L1357" i="1"/>
  <c r="J1358" i="1"/>
  <c r="K1358" i="1"/>
  <c r="L1358" i="1"/>
  <c r="J1359" i="1"/>
  <c r="K1359" i="1"/>
  <c r="L1359" i="1"/>
  <c r="J1360" i="1"/>
  <c r="K1360" i="1"/>
  <c r="L1360" i="1"/>
  <c r="J1361" i="1"/>
  <c r="K1361" i="1"/>
  <c r="L1361" i="1"/>
  <c r="L1042" i="1"/>
  <c r="K1042" i="1"/>
  <c r="J1042" i="1"/>
</calcChain>
</file>

<file path=xl/sharedStrings.xml><?xml version="1.0" encoding="utf-8"?>
<sst xmlns="http://schemas.openxmlformats.org/spreadsheetml/2006/main" count="13268" uniqueCount="4411">
  <si>
    <t>Müşteri Kodu</t>
  </si>
  <si>
    <t>Müşteri Adı</t>
  </si>
  <si>
    <t>Durumu</t>
  </si>
  <si>
    <t>Enlem</t>
  </si>
  <si>
    <t>Boylam</t>
  </si>
  <si>
    <t>Gsm</t>
  </si>
  <si>
    <t>Kanal</t>
  </si>
  <si>
    <t>Tip</t>
  </si>
  <si>
    <t>Alt Tip</t>
  </si>
  <si>
    <t>Adres</t>
  </si>
  <si>
    <t>İli</t>
  </si>
  <si>
    <t>İlçesi</t>
  </si>
  <si>
    <t>Dolap Sayısı</t>
  </si>
  <si>
    <t>Rutta mı</t>
  </si>
  <si>
    <t>Satışa Kapalımı</t>
  </si>
  <si>
    <t>Bakiye</t>
  </si>
  <si>
    <t>101964</t>
  </si>
  <si>
    <t>MIGROS TiC. A.S. (3441 TÜRK - İŞ SAMSUN MMM MİGROS)</t>
  </si>
  <si>
    <t>Aktif</t>
  </si>
  <si>
    <t>Migros</t>
  </si>
  <si>
    <t>Ulusal Zincir</t>
  </si>
  <si>
    <t>MİMAR SİNAN MAH. ALPARSLAN BULVARI NO:33 ATAKUM SAMSUN(MERKEZ) SAMSUN</t>
  </si>
  <si>
    <t>SAMSUN</t>
  </si>
  <si>
    <t>ATAKUM</t>
  </si>
  <si>
    <t>0</t>
  </si>
  <si>
    <t>145924</t>
  </si>
  <si>
    <t>BAŞAR GIDA-ERDAL BAŞAR</t>
  </si>
  <si>
    <t>05312923256</t>
  </si>
  <si>
    <t>Geleneksel</t>
  </si>
  <si>
    <t>Bakkal(&lt;50m2)</t>
  </si>
  <si>
    <t>Bakkal</t>
  </si>
  <si>
    <t>KADIKÖY MAH OSMANİYE CAD. NO:104 ILKADIM SAMSUN</t>
  </si>
  <si>
    <t>ILKADIM</t>
  </si>
  <si>
    <t>146586</t>
  </si>
  <si>
    <t>UZUNLAR MARKET CİHAN UZUN</t>
  </si>
  <si>
    <t>05358392553</t>
  </si>
  <si>
    <t>Orta Market(50-100m2)</t>
  </si>
  <si>
    <t>Orta Market</t>
  </si>
  <si>
    <t>19 MAYIS MAH LİSE CAD. NO:17 TEKKEKÖY SAMSUN</t>
  </si>
  <si>
    <t>TEKKEKÖY</t>
  </si>
  <si>
    <t>148676</t>
  </si>
  <si>
    <t>TİRYAKİOĞLU TİCARET-SELİME TİRYAKİOĞLU</t>
  </si>
  <si>
    <t>5333431581</t>
  </si>
  <si>
    <t>HÜRRİYET MAH.HÜRRİYET CAD.PAPATYA SOK. ÇARSAMBA SAMSUN</t>
  </si>
  <si>
    <t>ÇARSAMBA</t>
  </si>
  <si>
    <t>149077</t>
  </si>
  <si>
    <t>ANADOLU MARKET-RECEP ÇÜRÜKOĞLU</t>
  </si>
  <si>
    <t>05358634791</t>
  </si>
  <si>
    <t>ANADOLU MAH GÖRSEL SOK. NO:13 ILKADIM SAMSUN</t>
  </si>
  <si>
    <t>149799</t>
  </si>
  <si>
    <t>KOCABAŞ BAKKAL-MUSTAFA KOCABAŞ</t>
  </si>
  <si>
    <t>05365938345</t>
  </si>
  <si>
    <t>GÖKCEAĞAÇ MAH.MERKEZ SOK.NO:53 BAFRA SAMSUN</t>
  </si>
  <si>
    <t>BAFRA</t>
  </si>
  <si>
    <t>1</t>
  </si>
  <si>
    <t>200310</t>
  </si>
  <si>
    <t>GÜL GIDA PAZARI-VEYSEL ŞAHİN</t>
  </si>
  <si>
    <t>05456903262</t>
  </si>
  <si>
    <t>UNKAPANI MAH.M.AKİF SK. NO:28    ILKADIM SAMSUN</t>
  </si>
  <si>
    <t>202590</t>
  </si>
  <si>
    <t>GÜL SÜPERMARKET-ATİLA GÜL</t>
  </si>
  <si>
    <t>04526112144</t>
  </si>
  <si>
    <t>ATATÜRK CAD.NO:73     AKKUS ORDU</t>
  </si>
  <si>
    <t>ORDU</t>
  </si>
  <si>
    <t>AKKUS</t>
  </si>
  <si>
    <t>203055</t>
  </si>
  <si>
    <t>GÖRAL BAKKALİYESİ-HASAN TEKİNARSLAN</t>
  </si>
  <si>
    <t>05427187220</t>
  </si>
  <si>
    <t>19 MAYIS MAH.TEYFİK ÖZTÜRK SOK. NO:222     TEKKEKÖY SAMSUN</t>
  </si>
  <si>
    <t>204082</t>
  </si>
  <si>
    <t>KISMET MARKET-ŞABAN KILIÇ</t>
  </si>
  <si>
    <t>05365021360</t>
  </si>
  <si>
    <t>ÇİLHANE MAH. ALİ KALE CAD. NO:9      BAFRA SAMSUN</t>
  </si>
  <si>
    <t>205423</t>
  </si>
  <si>
    <t>LADİK KARTAL SÜPERMARKET GIDA NAK.SAN.</t>
  </si>
  <si>
    <t>BAHŞİ MAH.SAATHANE ALTI NO:11   LÂDIK SAMSUN</t>
  </si>
  <si>
    <t>LÂDIK</t>
  </si>
  <si>
    <t>207784</t>
  </si>
  <si>
    <t>FATMA GENÇ GENÇ MARKET</t>
  </si>
  <si>
    <t>05316128957</t>
  </si>
  <si>
    <t>EMİREFENDİ MAH EMİREFENDİ BULV. NO:27/B BAFRA SAMSUN</t>
  </si>
  <si>
    <t>220822</t>
  </si>
  <si>
    <t>SÜLEYMAN TAŞ BAKKAL</t>
  </si>
  <si>
    <t>05437105445</t>
  </si>
  <si>
    <t>SANAYİ MAH.HACI HASAN TAŞ SK.NO:22   TEKKEKÖY SAMSUN</t>
  </si>
  <si>
    <t>222563</t>
  </si>
  <si>
    <t>ÖZSOY GIDA-FAHRİ ÖZSOY</t>
  </si>
  <si>
    <t>05459585239</t>
  </si>
  <si>
    <t>İNKUR BELEDİYESİ MERKEZ NO:13 ÜNYE ORDU</t>
  </si>
  <si>
    <t>ÜNYE</t>
  </si>
  <si>
    <t>251482</t>
  </si>
  <si>
    <t>PARK MARKET-ADEM KÜÇÜKOĞLU</t>
  </si>
  <si>
    <t>05445459365</t>
  </si>
  <si>
    <t>İKİZCE IKIZCE ORDU</t>
  </si>
  <si>
    <t>IKIZCE</t>
  </si>
  <si>
    <t>254154</t>
  </si>
  <si>
    <t>COŞAR BÜFE-EMİNE COŞAR</t>
  </si>
  <si>
    <t>05434089572</t>
  </si>
  <si>
    <t>KARŞIYAKA MAH.AVNİÇINAROĞLU SOK. NO:34CANIK SAMSUN</t>
  </si>
  <si>
    <t>CANIK</t>
  </si>
  <si>
    <t>254312</t>
  </si>
  <si>
    <t>TOKİM 55-NECMİYE GÜNDÜZ</t>
  </si>
  <si>
    <t>05447366868</t>
  </si>
  <si>
    <t>_ TOKİ EVLERİ İŞ MERKEZİ . ATAKUM SAMSUN</t>
  </si>
  <si>
    <t>254793</t>
  </si>
  <si>
    <t>İNDİRİM MARKET 2-CELALETTİN SAĞLAM</t>
  </si>
  <si>
    <t>05447274597</t>
  </si>
  <si>
    <t>ÇAY MAH KÜÇÜK HAMAM SK NO:2-A ÇARSAMBA SAMSUN</t>
  </si>
  <si>
    <t>259345</t>
  </si>
  <si>
    <t>CARREFOUR SABANCI TİC.MRKZ.A.S. (3627 SAMSUM ATAKENT BULVARI SÜPER)</t>
  </si>
  <si>
    <t>UZ 400-1000m2 arası</t>
  </si>
  <si>
    <t>ATAKENT</t>
  </si>
  <si>
    <t>SAMSUN(MERKEZ)</t>
  </si>
  <si>
    <t>259361</t>
  </si>
  <si>
    <t>CARREFOUR SABANCI TİC.MRKZ.A.S. (3083 SAMSUN PELİTKÖY SÜPER)</t>
  </si>
  <si>
    <t>MERKEZ-SAMSUN SAMSUN(MERKEZ) SAMSUN</t>
  </si>
  <si>
    <t>273706</t>
  </si>
  <si>
    <t>TAŞ MARKET-ASİYE TAŞ</t>
  </si>
  <si>
    <t>05324670677</t>
  </si>
  <si>
    <t>FEVZİ ÇAKMAK MAH.KARAYOLLARI GEÇİDİ 3.SOK.NO:17 BAFRA SAMSUN</t>
  </si>
  <si>
    <t>279533</t>
  </si>
  <si>
    <t>BİZİM BAKKAL-MAFİYE AKSOY</t>
  </si>
  <si>
    <t>05382821548</t>
  </si>
  <si>
    <t>ÇAY MAH.CAMİ CAD.NO:62   TEKKEKÖY SAMSUN</t>
  </si>
  <si>
    <t>281249</t>
  </si>
  <si>
    <t>İNDİRİM MARKET-HÜSEYİN DİKYAR</t>
  </si>
  <si>
    <t>05453360055</t>
  </si>
  <si>
    <t>ADALET MAH.KARADENİZ CAD.NO:6 ILKADIM SAMSUN</t>
  </si>
  <si>
    <t>309527</t>
  </si>
  <si>
    <t>GÜVEN MARKET-HURİYE GÜVEN</t>
  </si>
  <si>
    <t>05551029160</t>
  </si>
  <si>
    <t>RASATHANE MAH KORE SOK. NO:38 ILKADIM SAMSUN</t>
  </si>
  <si>
    <t>310431</t>
  </si>
  <si>
    <t>TERCİH GIDA PAZARI-MURAT ALP</t>
  </si>
  <si>
    <t>05373081335</t>
  </si>
  <si>
    <t>Sarküteri</t>
  </si>
  <si>
    <t>KAVAKDİBİ MEVKİİ NO:25/A ÇARSAMBA SAMSUN</t>
  </si>
  <si>
    <t>311859</t>
  </si>
  <si>
    <t>MERAL ASLAN ASLAN MARKET</t>
  </si>
  <si>
    <t>05342652024</t>
  </si>
  <si>
    <t>DİKBIYIK MAH ATATÜRK BLV. NO:32/A ÇARSAMBA SAMSUN</t>
  </si>
  <si>
    <t>314543</t>
  </si>
  <si>
    <t>ŞEKERAĞA TARIM ÜRÜNLERİ İNŞ.GIDATİC.LTD.ŞTİ.</t>
  </si>
  <si>
    <t>05305100655</t>
  </si>
  <si>
    <t>ORHANGAZİ MAH.DR.ALİ FUAT BAŞGİL BULVARI AYVACIK SAMSUN</t>
  </si>
  <si>
    <t>AYVACIK</t>
  </si>
  <si>
    <t>315264</t>
  </si>
  <si>
    <t>KARACA BAKKAL-MEHMET KARACA</t>
  </si>
  <si>
    <t>05443194037</t>
  </si>
  <si>
    <t>DAMLATAŞ KÖYÜ ÇARSAMBA SAMSUN</t>
  </si>
  <si>
    <t>315303</t>
  </si>
  <si>
    <t>KARAOĞLU MARKET-DERYA KARA</t>
  </si>
  <si>
    <t>05436073821</t>
  </si>
  <si>
    <t>DEMİRCİ KÖYÜ       SINOP(MERKEZ) SINOP</t>
  </si>
  <si>
    <t>SINOP</t>
  </si>
  <si>
    <t>MERKEZ</t>
  </si>
  <si>
    <t>315571</t>
  </si>
  <si>
    <t>KURUGÖKÇE BAKKALI-HAVVA GÜNDOĞDU</t>
  </si>
  <si>
    <t>05324652521</t>
  </si>
  <si>
    <t>KURUGÖKÇE MAH MERKEZ MAH. NO:1 ATAKUM SAMSUN</t>
  </si>
  <si>
    <t>315583</t>
  </si>
  <si>
    <t>BAKKAL UĞUR ERGEN</t>
  </si>
  <si>
    <t>05448461662</t>
  </si>
  <si>
    <t>HABİBFAKİ KÖYÜ    VEZIRKÖPRÜ SAMSUN</t>
  </si>
  <si>
    <t>VEZIRKÖPRÜ</t>
  </si>
  <si>
    <t>324678</t>
  </si>
  <si>
    <t>AYGÜN BAKKALİYESİ-İSMET AYGÜN</t>
  </si>
  <si>
    <t>05426814522</t>
  </si>
  <si>
    <t>YAĞBASAN BASAN KÖYÜ   TEKKEKÖY SAMSUN</t>
  </si>
  <si>
    <t>325059</t>
  </si>
  <si>
    <t>BAYINDIR TEMİZLİK GIDA-OSMAN BAYINDIR</t>
  </si>
  <si>
    <t>05079950860</t>
  </si>
  <si>
    <t>UNKAPANI MAH.UNKAPANI CAD.NO:4     ILKADIM SAMSUN</t>
  </si>
  <si>
    <t>327648</t>
  </si>
  <si>
    <t>ÇİFTLİK MARKET YEMEK ÜRETİM GIDA TEM.HAY.NAK.İNŞ.SAN.TİC.LTD.ŞTİ.</t>
  </si>
  <si>
    <t>05446141601</t>
  </si>
  <si>
    <t>BAHŞİ MAH.GAZİ CAD.NO:10 LÂDIK SAMSUN</t>
  </si>
  <si>
    <t>331479</t>
  </si>
  <si>
    <t>YILDIZ MARKET-MÜMİNE YILDIZ</t>
  </si>
  <si>
    <t>05424141384</t>
  </si>
  <si>
    <t>KALKANCA MAH.HAZİNE SOK.NO:1   ILKADIM SAMSUN</t>
  </si>
  <si>
    <t>333620</t>
  </si>
  <si>
    <t>YAYLA BAKKALİYESİ-BİLAL YAYLA</t>
  </si>
  <si>
    <t>05426807622</t>
  </si>
  <si>
    <t>ÖZGÖREN KÖYÜ ATAKUM SAMSUN</t>
  </si>
  <si>
    <t>380173</t>
  </si>
  <si>
    <t>OVALI BAKKAL-GÜLDUMAN OVALI</t>
  </si>
  <si>
    <t>05418128181</t>
  </si>
  <si>
    <t>FENER MAH.HÜRRİYET BELDESİ ÇARSAMBA SAMSUN</t>
  </si>
  <si>
    <t>382784</t>
  </si>
  <si>
    <t>HATEM ÜNAL BAKKAL</t>
  </si>
  <si>
    <t>05365600941</t>
  </si>
  <si>
    <t>ÇAMYATAĞI KÖYÜ   HAVZA SAMSUN</t>
  </si>
  <si>
    <t>HAVZA</t>
  </si>
  <si>
    <t>384710</t>
  </si>
  <si>
    <t>CENİKLİOĞLU MARKET-GÜLAĞA CENİKLİOĞLU</t>
  </si>
  <si>
    <t>05376320640</t>
  </si>
  <si>
    <t>TEKNEPINAR KÖYÜ YENİ MAH.ALTINTEPE SOK.NO:60/B     CANIK SAMSUN</t>
  </si>
  <si>
    <t>385187</t>
  </si>
  <si>
    <t>DAVUT BAKKAL-DAVUT TORUN</t>
  </si>
  <si>
    <t>05322638653</t>
  </si>
  <si>
    <t>GAZİOSMANPAŞA MAH.ŞEKER AHMET SOK.NO:52    CANIK SAMSUN</t>
  </si>
  <si>
    <t>387940</t>
  </si>
  <si>
    <t>FATMA PENBECİOĞLU BAKKAL</t>
  </si>
  <si>
    <t>05437102176</t>
  </si>
  <si>
    <t>ALTINKAYA MAH ŞAİR SOK. NO:40/A BAFRA SAMSUN</t>
  </si>
  <si>
    <t>388537</t>
  </si>
  <si>
    <t>HÜSEYİN CEYLAN BAKKAL</t>
  </si>
  <si>
    <t>05327623037</t>
  </si>
  <si>
    <t>ELALDI KÖYÜ VEZIRKÖPRÜ SAMSUN</t>
  </si>
  <si>
    <t>389947</t>
  </si>
  <si>
    <t>BEYAZOĞLU GIDA-GÖKSEL BEYAZOĞLU</t>
  </si>
  <si>
    <t>05373611320</t>
  </si>
  <si>
    <t>ORHANGAZİ MAH.MİLLET MEYDANI NO:23 AYVACIK SAMSUN</t>
  </si>
  <si>
    <t>390482</t>
  </si>
  <si>
    <t>AYDIN GIDA İNŞ ÇELİK YAPI NAK.SAN.LTD.ŞTİ.</t>
  </si>
  <si>
    <t>05060519964</t>
  </si>
  <si>
    <t>İSTİKLAL MAH.NO:126ILKADIM SAMSUN</t>
  </si>
  <si>
    <t>392829</t>
  </si>
  <si>
    <t>ÇAKALLI İLKÖĞRETİM OKULU KANTİN İŞLETMESİ</t>
  </si>
  <si>
    <t>05074270036</t>
  </si>
  <si>
    <t>Horeca</t>
  </si>
  <si>
    <t>Cafe/Restaurant</t>
  </si>
  <si>
    <t>ÇAKALLI   KAVAK SAMSUN</t>
  </si>
  <si>
    <t>KAVAK</t>
  </si>
  <si>
    <t>395617</t>
  </si>
  <si>
    <t>BALCI SÜPER MARKET NERMİN&amp;TÜLAY BALCI</t>
  </si>
  <si>
    <t>05355574855</t>
  </si>
  <si>
    <t>EYÜP SULTAN MAH.ATATÜRK BLVARI AYVACIK SAMSUN</t>
  </si>
  <si>
    <t>396341</t>
  </si>
  <si>
    <t>YILMAZ GIDA PAZARI-İSA ÖZKAN</t>
  </si>
  <si>
    <t>05079593384</t>
  </si>
  <si>
    <t>ÇAĞLA SOK.NO:1 SAMSUN(MERKEZ) SAMSUN</t>
  </si>
  <si>
    <t>396776</t>
  </si>
  <si>
    <t>BAKKAL HAKAN MEMİŞ</t>
  </si>
  <si>
    <t>05459643827</t>
  </si>
  <si>
    <t>TOPTEPE MAH.AKMESUT SOK.NO:69     CANIK SAMSUN</t>
  </si>
  <si>
    <t>405983</t>
  </si>
  <si>
    <t>ÇELİK GIDA - HAKAN ÇELİK</t>
  </si>
  <si>
    <t>05442516197</t>
  </si>
  <si>
    <t>İSA DAYI MAH. İTFAİYE CAD.3 NOLU SOK. 23/E     SINOP(MERKEZ) SINOP</t>
  </si>
  <si>
    <t>405986</t>
  </si>
  <si>
    <t>VEZİR İMAR ENERJİ PER. HİZ. LTD. ŞTİ. (ÇAMLIK)</t>
  </si>
  <si>
    <t>05447146932</t>
  </si>
  <si>
    <t>CUMHURİYET MAH 515. SOK. NO:7/1 VEZIRKÖPRÜ SAMSUN</t>
  </si>
  <si>
    <t>405988</t>
  </si>
  <si>
    <t>ALİ OSMAN ALICI BAKKAL</t>
  </si>
  <si>
    <t>05366281583</t>
  </si>
  <si>
    <t>YUKARINARLI VEZIRKÖPRÜ SAMSUN</t>
  </si>
  <si>
    <t>413560</t>
  </si>
  <si>
    <t>KÖZ MARKET-HASAN KÖZ</t>
  </si>
  <si>
    <t>05464420159</t>
  </si>
  <si>
    <t>BAHÇEKONAK  KÖYÜ   VEZIRKÖPRÜ SAMSUN</t>
  </si>
  <si>
    <t>413562</t>
  </si>
  <si>
    <t>ŞÜKRÜ ÜNAL MİNİBÜS İŞLETMESİ BAKKAL</t>
  </si>
  <si>
    <t>05323849563</t>
  </si>
  <si>
    <t>TEPEÖREN KÖYÜ VEZIRKÖPRÜ SAMSUN</t>
  </si>
  <si>
    <t>415819</t>
  </si>
  <si>
    <t>SOK A.S. (2253 SAMSUN 56 EVLER)</t>
  </si>
  <si>
    <t>Şok</t>
  </si>
  <si>
    <t>Sok</t>
  </si>
  <si>
    <t>BAHÇELİEVLER MAH. İSTİKLAL CAD.HAMDİ PAŞA SOK. NO:1 SAMSUN(MERKEZ) SAMSUN</t>
  </si>
  <si>
    <t>415821</t>
  </si>
  <si>
    <t>SOK A.S. (3522 SAMSUN ALAÇAM)</t>
  </si>
  <si>
    <t>YENİCAMİ MAH.BAFRA CAD.NO:86 ALAÇAM SAMSUN</t>
  </si>
  <si>
    <t>ALAÇAM</t>
  </si>
  <si>
    <t>415825</t>
  </si>
  <si>
    <t>SOK A.S. (2072 SAMSUN ATAKUM)</t>
  </si>
  <si>
    <t>CUMHURİYET MAH. LOZAN CAD. NO:8 /17-18-19-20 ATAKUM SAMSUN(MERKEZ) SAMSUN</t>
  </si>
  <si>
    <t>415827</t>
  </si>
  <si>
    <t>SOK A.S. (3001 SAMSUN ATAKUM CUMHURİYET)</t>
  </si>
  <si>
    <t>CUMHURİYET MAH. İSMET İNÖNÜ BUL.NO:292/1 ATAKUM SAMSUN(MERKEZ) SAMSUN</t>
  </si>
  <si>
    <t>415831</t>
  </si>
  <si>
    <t>SOK A.S. (2578 SAMSUN ÇİFTLİK)</t>
  </si>
  <si>
    <t>KARADENİZ MAH. ÜMRANİYE SOK. NO:23 SAMSUN(MERKEZ) SAMSUN</t>
  </si>
  <si>
    <t>415835</t>
  </si>
  <si>
    <t>SOK A.S. (2165 SAMSUN GAZİ)</t>
  </si>
  <si>
    <t>19 MAYIS MAH. 70.SOK.NO:1/D SAMSUN(MERKEZ) SAMSUN</t>
  </si>
  <si>
    <t>415837</t>
  </si>
  <si>
    <t>SOK A.S. (2713 SAMSUN GEBİ)</t>
  </si>
  <si>
    <t>İLYASKÖY MAH. GEBİ CAD. NO:242 İLKADIM SAMSUN(MERKEZ) SAMSUN</t>
  </si>
  <si>
    <t>415839</t>
  </si>
  <si>
    <t>SOK A.S. (2634 SAMSUN HANÇERLİ)</t>
  </si>
  <si>
    <t>HANÇERLİ MAH.100.YIL BLV. NO:47/D SAMSUN(MERKEZ) SAMSUN</t>
  </si>
  <si>
    <t>415847</t>
  </si>
  <si>
    <t>SOK A.S. (2633 SAMSUN KAZIM KARABEKİR)</t>
  </si>
  <si>
    <t>KAZIM KARABEKİR MAH. GAZİ ETHEMPAŞA BLV. NO:129 SAMSUN(MERKEZ) SAMSUN</t>
  </si>
  <si>
    <t>415849</t>
  </si>
  <si>
    <t>SOK A.S. (2913 SAMSUN LADİK)</t>
  </si>
  <si>
    <t>BAHŞİ MAH. GAZİLER CAD. NO:54 LÂDIK SAMSUN</t>
  </si>
  <si>
    <t>415851</t>
  </si>
  <si>
    <t>SOK A.S. (2343 SAMSUN LİMAN)</t>
  </si>
  <si>
    <t>LİMAN MAH. GENÇLİK CAD. NO:5 SAMSUN(MERKEZ) SAMSUN</t>
  </si>
  <si>
    <t>415859</t>
  </si>
  <si>
    <t>SOK A.S. (2367 SİNOP)</t>
  </si>
  <si>
    <t>MEYDANKAPI MAH. MAYDANETEĞİ CAD. NO:10/A SINOP(MERKEZ) SINOP</t>
  </si>
  <si>
    <t>415861</t>
  </si>
  <si>
    <t>SOK A.S. (2986 SİNOP ADA)</t>
  </si>
  <si>
    <t>ADA MAH.YUSUFOĞLUARALIĞI SK.NO:16 SINOP(MERKEZ) SINOP</t>
  </si>
  <si>
    <t>415867</t>
  </si>
  <si>
    <t>SOK A.S. (2914 SİNOP GERZE)</t>
  </si>
  <si>
    <t>HAMİDİYE MAH. BAYRAKTAR CAD. NO:25/A GERZE SINOP</t>
  </si>
  <si>
    <t>GERZE</t>
  </si>
  <si>
    <t>417165</t>
  </si>
  <si>
    <t>SOK A.S. (3247 ORDU AKKUŞ)</t>
  </si>
  <si>
    <t>MERKEZ MAH. İSTİKLAL CAD. NO:108/2-3</t>
  </si>
  <si>
    <t>417177</t>
  </si>
  <si>
    <t>SOK A.S. (2852 ÜNYE ÇARŞI İÇİ)</t>
  </si>
  <si>
    <t>KALEDERE MAH. YİRMİ TEMMUZ CAD. NO:26/C</t>
  </si>
  <si>
    <t>417179</t>
  </si>
  <si>
    <t>SOK A.S. (2739 ÜNYE YALI)</t>
  </si>
  <si>
    <t>ORTA YILMAZLAR MAH. BELEDİYE CAD. DEVLET SAHİL YOLU NO:463</t>
  </si>
  <si>
    <t>425976</t>
  </si>
  <si>
    <t>SOK A.S. (6055 SİNOP KORUCU)</t>
  </si>
  <si>
    <t>ADA MH. KORUCU SK. NO:24/A SINOP(MERKEZ) SINOP</t>
  </si>
  <si>
    <t>428467</t>
  </si>
  <si>
    <t>ATATÜRK İLKÖĞRETİM OKULU KANTİNİ-İLYAS YAZICI</t>
  </si>
  <si>
    <t>05326111626</t>
  </si>
  <si>
    <t>Büfe</t>
  </si>
  <si>
    <t>ATATÜRK İ.Ö.O ÇARSAMBA SAMSUN</t>
  </si>
  <si>
    <t>429632</t>
  </si>
  <si>
    <t>GÜROĞLU MARKET-MURAT GÜROĞLU</t>
  </si>
  <si>
    <t>05332153620</t>
  </si>
  <si>
    <t>BALCALI KÖYÜ       TEKKEKÖY SAMSUN</t>
  </si>
  <si>
    <t>431393</t>
  </si>
  <si>
    <t>ATAR GIDA-BAHRİ ATAR</t>
  </si>
  <si>
    <t>05445492929</t>
  </si>
  <si>
    <t>EVCİ MAH MERKEZ SOK NO:1 TERME SAMSUN</t>
  </si>
  <si>
    <t>TERME</t>
  </si>
  <si>
    <t>432537</t>
  </si>
  <si>
    <t>FURKAN ÇELİKLER GIDA İNŞ.TURZ.TEKS.SAN.VE TİC.LTD.ŞTİ</t>
  </si>
  <si>
    <t>05464895650</t>
  </si>
  <si>
    <t>KIŞLA MAH GEBİ CAD. NO:278 ILKADIM SAMSUN</t>
  </si>
  <si>
    <t>433396</t>
  </si>
  <si>
    <t>ARİF BOLAT BOLAT TİCARET</t>
  </si>
  <si>
    <t>05462359356</t>
  </si>
  <si>
    <t>BOĞA MAH BOĞA NO:1 VEZIRKÖPRÜ SAMSUN</t>
  </si>
  <si>
    <t>435007</t>
  </si>
  <si>
    <t>TAFLAN GIDA SAN TİC.LTD.ŞTİ.</t>
  </si>
  <si>
    <t>05444864474</t>
  </si>
  <si>
    <t>YEŞİLIRMAK MAH.KARAMUSTAFALI YOLU NO:63     ÇARSAMBA SAMSUN</t>
  </si>
  <si>
    <t>435462</t>
  </si>
  <si>
    <t>GÖNÜL DOSTLARI DONDURMA VE SEMAVER BAHÇESİ-ERDOĞAN UÇAN</t>
  </si>
  <si>
    <t>05358660923</t>
  </si>
  <si>
    <t>ANDYERİ KÖYÜ CAMİ YANI   TEKKEKÖY SAMSUN</t>
  </si>
  <si>
    <t>436511</t>
  </si>
  <si>
    <t>DEVGROSS-SAMSUN</t>
  </si>
  <si>
    <t>03622386238</t>
  </si>
  <si>
    <t>Ösm</t>
  </si>
  <si>
    <t>ÖSM</t>
  </si>
  <si>
    <t>ÖSM 250-500m2 üzeri</t>
  </si>
  <si>
    <t>SOĞUKSU MAH.404.SOK. CANIK SAMSUN</t>
  </si>
  <si>
    <t>440050</t>
  </si>
  <si>
    <t>SOK A.S. (6085 SAMSUN YENİDOĞAN)</t>
  </si>
  <si>
    <t>YENİDOĞAN MAH. AZİZİYE CAD. NO:160 ILKADIM SAMSUN</t>
  </si>
  <si>
    <t>449719</t>
  </si>
  <si>
    <t>SOK A.S. (6175 SAMSUN ATATÜRK BULVARI ATAKUM)</t>
  </si>
  <si>
    <t>Ataürk Bulvarı Atakum</t>
  </si>
  <si>
    <t>461765</t>
  </si>
  <si>
    <t>MIGROS TiC. A.S. (3858 ÜNYE ORDU MM MİGROS)</t>
  </si>
  <si>
    <t>ATATÜRK MH. DEVLET SAHİL YOLU NO:745 ÜNYE ORDU</t>
  </si>
  <si>
    <t>461786</t>
  </si>
  <si>
    <t>ÖZ CENİKLİ MARKET-REFAETTİN CENİKLİ</t>
  </si>
  <si>
    <t>0532</t>
  </si>
  <si>
    <t>ULUDAĞ MAH.ÖZATA SOK.NO:10 SAMSUN(MERKEZ) SAMSUN</t>
  </si>
  <si>
    <t>463219</t>
  </si>
  <si>
    <t>SOK A.S. (6123 SAMSUN BAFRA HASTANE)</t>
  </si>
  <si>
    <t>İSMETPAŞA MH.HASTANE SOK.NO:42</t>
  </si>
  <si>
    <t>464662</t>
  </si>
  <si>
    <t>KARDEŞLER MARKET - KENAN DEMİREL</t>
  </si>
  <si>
    <t>05423171016</t>
  </si>
  <si>
    <t>KORUCUK SSK HAST. KARŞISI      SINOP(MERKEZ) SINOP</t>
  </si>
  <si>
    <t>467274</t>
  </si>
  <si>
    <t>KAYA MARKET-FAHRİYE KAYA</t>
  </si>
  <si>
    <t>05454282717</t>
  </si>
  <si>
    <t>AŞAĞI ÇİNİK MAH.NO:23   TEKKEKÖY SAMSUN</t>
  </si>
  <si>
    <t>467655</t>
  </si>
  <si>
    <t>REYHAN MARKET-AYŞE ORHAN</t>
  </si>
  <si>
    <t>05318601196</t>
  </si>
  <si>
    <t>EMİREFENDİ MAH.HASAN ÇAKIR CAD.NO:5 BAFRA SAMSUN</t>
  </si>
  <si>
    <t>472958</t>
  </si>
  <si>
    <t>BALCI GIDA PAZ.SAN.TİC.LTD.ŞTİ.</t>
  </si>
  <si>
    <t>05355581992</t>
  </si>
  <si>
    <t>KIZILIRMAK MAH.ALAÇAM CAD.NO:127 BAFRA SAMSUN</t>
  </si>
  <si>
    <t>473363</t>
  </si>
  <si>
    <t>KALE MARKET-ÇAMURLU MAH.ŞB.</t>
  </si>
  <si>
    <t>3336301</t>
  </si>
  <si>
    <t>ÇAMURLU MAH.SARAY CAD.NO:27   ÜNYE ORDU</t>
  </si>
  <si>
    <t>474647</t>
  </si>
  <si>
    <t>SOK A.S. (6240 SAMSUN TEKKEKÖY)</t>
  </si>
  <si>
    <t>19 Mayıs Mahallesi Samsun Bulvarı NO:105/1 Tekkeköy/Samsun</t>
  </si>
  <si>
    <t>474651</t>
  </si>
  <si>
    <t>SOK A.S. (6206 PAZAR MAH. 19 MAYIS)</t>
  </si>
  <si>
    <t>PAZAR MAH ERELLER SK. NO:32 19MAYIS SAMSUN</t>
  </si>
  <si>
    <t>19MAYIS</t>
  </si>
  <si>
    <t>474655</t>
  </si>
  <si>
    <t>MIGROS TiC. A.S. (5753 PİAZZA AVM SAMSUN MMM MİGROS)</t>
  </si>
  <si>
    <t>Samsun Optimum Avm Çarşamba Cd Kılıçdede Mh   SAMSUN(MERKEZ) SAMSUN</t>
  </si>
  <si>
    <t>479349</t>
  </si>
  <si>
    <t>GÜNEY MARKET-YUNİS KAÇAR</t>
  </si>
  <si>
    <t>05449353585</t>
  </si>
  <si>
    <t>GÖLGÜNEY KÖYÜ VEZIRKÖPRÜ SAMSUN</t>
  </si>
  <si>
    <t>479994</t>
  </si>
  <si>
    <t>KADİR KOCA BAKKAL</t>
  </si>
  <si>
    <t>05383184747</t>
  </si>
  <si>
    <t>ALAN KÖYÜ   VEZIRKÖPRÜ SAMSUN</t>
  </si>
  <si>
    <t>481773</t>
  </si>
  <si>
    <t>HAVZA TUR.SER.TAŞ.TİC.LTD.ŞTİ.</t>
  </si>
  <si>
    <t>05363576093</t>
  </si>
  <si>
    <t>Yiyecek Büfesi</t>
  </si>
  <si>
    <t>ŞEYHLER KÖYÜ HAVZA SAMSUN HAVZA SAMSUN</t>
  </si>
  <si>
    <t>482371</t>
  </si>
  <si>
    <t>PARK DONDURMA 1-AHMET KESEN</t>
  </si>
  <si>
    <t>05454946650</t>
  </si>
  <si>
    <t>POSTANE KARŞISI VEZIRKÖPRÜ SAMSUN</t>
  </si>
  <si>
    <t>483234</t>
  </si>
  <si>
    <t>KAYALAR MARKET-ALPAY KAYA</t>
  </si>
  <si>
    <t>05334491245</t>
  </si>
  <si>
    <t>FATİH MAH.HACI YUSUF SOK.GÖL BELDESİ VEZIRKÖPRÜ SAMSUN</t>
  </si>
  <si>
    <t>483351</t>
  </si>
  <si>
    <t>TURGUTER DAĞ.HALİSE TURGUTER-HASAN ÇAKIR 2 -KIZ MESLEK LİSESİ İLKOKUL KANTİNİ</t>
  </si>
  <si>
    <t>05415155065</t>
  </si>
  <si>
    <t>MEVLANA MAH KOYUNCU SOK. NO:34 BAFRA SAMSUN</t>
  </si>
  <si>
    <t>483688</t>
  </si>
  <si>
    <t>ESRA ÇAKIR ÇAKIR MARKET</t>
  </si>
  <si>
    <t>05432132553</t>
  </si>
  <si>
    <t>KİRAZLIKÇAY MAH DEĞİRMENBAŞI CAD. NO:158/B ÇARSAMBA SAMSUN</t>
  </si>
  <si>
    <t>483714</t>
  </si>
  <si>
    <t>KARDEŞLER GIDA-YUSUF AKSU</t>
  </si>
  <si>
    <t>05375204038</t>
  </si>
  <si>
    <t>YENİDOĞAN MAH KOCADAĞ SOK. NO:13 ILKADIM SAMSUN</t>
  </si>
  <si>
    <t>484488</t>
  </si>
  <si>
    <t>DÖRTYOL MARKET-MUSTAFA AKKAYA</t>
  </si>
  <si>
    <t>05426923900</t>
  </si>
  <si>
    <t>EMİRMUSA KÖYÜ ASARCIK SAMSUN</t>
  </si>
  <si>
    <t>ASARCIK</t>
  </si>
  <si>
    <t>484797</t>
  </si>
  <si>
    <t>SOK A.S. (6264 SİNOP FATİH CD.)</t>
  </si>
  <si>
    <t>GELİNCİK MH. FATİH CD. NO:60/50 SINOP(MERKEZ) SINOP</t>
  </si>
  <si>
    <t>485129</t>
  </si>
  <si>
    <t>VEZİRKÖPRÜ MEHMET PAŞA İ.OKULU</t>
  </si>
  <si>
    <t>03626461022</t>
  </si>
  <si>
    <t>MEHMET PAŞA İ.O   VEZIRKÖPRÜ SAMSUN</t>
  </si>
  <si>
    <t>488333</t>
  </si>
  <si>
    <t>OSMAN BOLAT BAKKAL</t>
  </si>
  <si>
    <t>05365042516</t>
  </si>
  <si>
    <t>KUŞÇULAR KÖYÜ    VEZIRKÖPRÜ SAMSUN</t>
  </si>
  <si>
    <t>489102</t>
  </si>
  <si>
    <t>VEZİR İMAR ENERJİ PER. HİZ. LTD. ŞTİ. (DERİCİ PARK)</t>
  </si>
  <si>
    <t>CUMHURİYET MAH 515. SOK NO:7/1 VEZIRKÖPRÜ SAMSUN</t>
  </si>
  <si>
    <t>489170</t>
  </si>
  <si>
    <t>EMRULLAH ÖKSÜZ BAKKAL</t>
  </si>
  <si>
    <t>05399891571</t>
  </si>
  <si>
    <t>ALANŞEYHİ KÖYÜ   VEZIRKÖPRÜ SAMSUN</t>
  </si>
  <si>
    <t>490192</t>
  </si>
  <si>
    <t>KALE MARKET - ATATÜRK MAH.ŞUBESİ</t>
  </si>
  <si>
    <t>04523336302</t>
  </si>
  <si>
    <t>DEVLET SAHİL YOLU ATATÜRK MAH. NO:701     ÜNYE ORDU</t>
  </si>
  <si>
    <t>492785</t>
  </si>
  <si>
    <t>SOK A.S. (6330 ÇARŞAMBA YUNUS EMRE MAĞAZASI)</t>
  </si>
  <si>
    <t>SARICALI MH. YUNUS EMRE CD. NO:67/A ÇARSAMBA SAMSUN</t>
  </si>
  <si>
    <t>492794</t>
  </si>
  <si>
    <t>SOK A.S. (6333 SAMSUN ATAKENT MAĞAZASI)</t>
  </si>
  <si>
    <t>YENİMAHALLE MH. ALİ GAFFAR OKAN BULVARI NO:29-31 ATAKUM SAMSUN(MERKEZ) SAMSUN</t>
  </si>
  <si>
    <t>496846</t>
  </si>
  <si>
    <t>SOK A.S. (6364 BAFRA İSHAKLI MAĞAZASI)</t>
  </si>
  <si>
    <t>İSMETPAŞA MAH.İSHAKLI CD.NO:22-24/A-B BAFRA SAMSUN</t>
  </si>
  <si>
    <t>497990</t>
  </si>
  <si>
    <t>SOK A.S. (6379 ATAKUM CAĞALOĞLU MAĞAZASI)</t>
  </si>
  <si>
    <t>MEVLANA MH. CAĞALOĞLU CAD.NO:69-73 ATAKUM / SAMSUN SAMSUN(MERKEZ) SAMSUN</t>
  </si>
  <si>
    <t>498424</t>
  </si>
  <si>
    <t>SOK A.S. (6395 GERZE SİNOP CADDESİ MAĞAZASI)</t>
  </si>
  <si>
    <t>19 MAYIS MH. SİNOP CD. NO:28/A GERZE/SİNOP GERZE SINOP</t>
  </si>
  <si>
    <t>498647</t>
  </si>
  <si>
    <t>SOK A.S. (6531 SAMSUN SALIPAZARI MAĞAZASI)</t>
  </si>
  <si>
    <t>BEREKET MH. CUMHURİYET MEYDANI NO:10/1 SALIPAZARI/SAMSUN SALIPAZARI SAMSUN</t>
  </si>
  <si>
    <t>SALIPAZARI</t>
  </si>
  <si>
    <t>498648</t>
  </si>
  <si>
    <t>SOK A.S. (6532 SAMSUN AĞABALİ MAĞAZASI)</t>
  </si>
  <si>
    <t>RASATHANE MH. AĞABALİ CD. NO:128-128/B İLKADIM/SAMSUN SAMSUN(MERKEZ) SAMSUN</t>
  </si>
  <si>
    <t>499761</t>
  </si>
  <si>
    <t>SOK A.S. (6542 SAMSUN REŞADİYE MAHALLESİ MAĞAZASI)</t>
  </si>
  <si>
    <t>REŞADİYE MH. OSMANİYE CAD.NO:83/1 İLKADIM/SAMSUN SAMSUN(MERKEZ) SAMSUN</t>
  </si>
  <si>
    <t>503561</t>
  </si>
  <si>
    <t>SOK A.S. (6558 ÜNYE TOKİ MAĞAZASI)</t>
  </si>
  <si>
    <t>GÖLEVİ MAH.ÇÖREMEZ SOK.NO:1 ÜNYE/ORDU ÜNYE ORDU</t>
  </si>
  <si>
    <t>503918</t>
  </si>
  <si>
    <t>MIGROS TiC. A.S. (4130 DURUŞEHİR MM MİGROS)</t>
  </si>
  <si>
    <t>KAZIMKARABEKİR MH ODUNPAZARI CD NO:16/1-2-3-4  İLKADIM SAMSUN(MERKEZ) SAMSUN</t>
  </si>
  <si>
    <t>506271</t>
  </si>
  <si>
    <t>İSTANBULLU ALIŞVERİŞ MERKEZİ - MUSTAFA İSTANBULLU</t>
  </si>
  <si>
    <t>05423420453</t>
  </si>
  <si>
    <t>HAMİDİYE MAH. VATAN BULVARI NO:15   GERZE SINOP</t>
  </si>
  <si>
    <t>511940</t>
  </si>
  <si>
    <t>SOK A.S. (6611 ATAKUM YENİMAHALLE MAĞAZASI)</t>
  </si>
  <si>
    <t>YENİMAHALLE MAH. ATAKENT BUL. NO:40 ATAKUM SAMSUN</t>
  </si>
  <si>
    <t>513299</t>
  </si>
  <si>
    <t>PAPATYA MARKET 2 - ERKAN AYAZ</t>
  </si>
  <si>
    <t>05375113961</t>
  </si>
  <si>
    <t>YENİ MAH.19 MAYIS CAD.İPEK SİTE NO:97   ATAKUM SAMSUN</t>
  </si>
  <si>
    <t>516511</t>
  </si>
  <si>
    <t>AKYÜZ BAKKALİYESİ-AHMET AKYÜZ</t>
  </si>
  <si>
    <t>05385719744</t>
  </si>
  <si>
    <t>OVACIK KOYU KANAL SIRTI</t>
  </si>
  <si>
    <t>516854</t>
  </si>
  <si>
    <t>DENİZ BAKKALİYE-ABDURRAHMAN DENİZ</t>
  </si>
  <si>
    <t>05458178970</t>
  </si>
  <si>
    <t>ISHAKLI MH IRFANIYE 1 SK NO:58    BAFRA SAMSUN</t>
  </si>
  <si>
    <t>517643</t>
  </si>
  <si>
    <t>SOK A.S. (6649 BAFRA KAVAKPINAR MAĞAZASI)</t>
  </si>
  <si>
    <t>KAVAKPINAR MAH. 19 MAYIS CAD. NO:21/A BAFRA SAMSUN</t>
  </si>
  <si>
    <t>519071</t>
  </si>
  <si>
    <t>MUSTAFA VERGİLİ FİLİZ MARKET</t>
  </si>
  <si>
    <t>05325885608</t>
  </si>
  <si>
    <t>CUMHURİYET MAH HACIZÜLFİKAR SOK. NO:3 BAFRA SAMSUN</t>
  </si>
  <si>
    <t>520198</t>
  </si>
  <si>
    <t>SEYİT AHMET AKDAĞ AKDAĞ GIDA PAZARI</t>
  </si>
  <si>
    <t>05428236368</t>
  </si>
  <si>
    <t>İLYASKÖY MAH OTLUKBELİ SOKAK. NO:3 ILKADIM SAMSUN</t>
  </si>
  <si>
    <t>522304</t>
  </si>
  <si>
    <t>BEŞLER GIDA MAD.SAN.TİC.LTD.ŞTİ.</t>
  </si>
  <si>
    <t>05436824682</t>
  </si>
  <si>
    <t>DREBAHÇE MAH.IRMAK CAD.NO:100     ILKADIM SAMSUN</t>
  </si>
  <si>
    <t>523945</t>
  </si>
  <si>
    <t>TARIM LİSESİ-KANTİN</t>
  </si>
  <si>
    <t>05424328458</t>
  </si>
  <si>
    <t>ÇİFTLİK MAH.ATATÜRK BULVARI NO:258 GELEMEN TEKKEKÖY SAMSUN</t>
  </si>
  <si>
    <t>524846</t>
  </si>
  <si>
    <t>KAHRAMAN BAKKAL-HÜSNE KAHRAMAN</t>
  </si>
  <si>
    <t>05453111416</t>
  </si>
  <si>
    <t>KABACEVIZ KOYU MERKEZ MAHALLE NO:10</t>
  </si>
  <si>
    <t>525163</t>
  </si>
  <si>
    <t>SOK A.S. (6675 SAMSUN 100.YIL BULVARI)</t>
  </si>
  <si>
    <t>FEVZİ ÇAKMAK MH. LİSE CD. NO:52-B/2 İLKADIM SAMSUN(MERKEZ) SAMSUN</t>
  </si>
  <si>
    <t>525168</t>
  </si>
  <si>
    <t>SOK A.S. (6674 ORDU ÜNYE SAHİL YOLU)</t>
  </si>
  <si>
    <t>GÖLEVİ MAH.DEVLET SAHİL YOLU CAD.NO:851 ÜNYE ORDU</t>
  </si>
  <si>
    <t>525305</t>
  </si>
  <si>
    <t>KARACA MARKET-FİKRİ KARACA</t>
  </si>
  <si>
    <t>05074610973</t>
  </si>
  <si>
    <t>CAYAN MEVKI NO1 GULDERE KOYU</t>
  </si>
  <si>
    <t>533163</t>
  </si>
  <si>
    <t>MERKEZ MARKET HAYRİYE KILIÇ</t>
  </si>
  <si>
    <t>05412614266</t>
  </si>
  <si>
    <t>KARAOĞLAN MAH 586. SOK NO:1/A TEKKEKÖY SAMSUN</t>
  </si>
  <si>
    <t>538127</t>
  </si>
  <si>
    <t>İNCEBURUN APAT RESTAURANT-OZAN KOÇ</t>
  </si>
  <si>
    <t>05367014190</t>
  </si>
  <si>
    <t>ABALI KÖYÜ AKLİMAN MEVKİ  SINOP(MERKEZ) SINOP</t>
  </si>
  <si>
    <t>544325</t>
  </si>
  <si>
    <t>SOK A.S. (6895 SAMSUN SAADET CADDESİ MAĞAZASI)</t>
  </si>
  <si>
    <t>İSTASYON MH. SAADET CD. NO:93/1 ILKADIM SAMSUN</t>
  </si>
  <si>
    <t>544771</t>
  </si>
  <si>
    <t>SOK A.S. (6928 HAVZA 25 MAYIS)</t>
  </si>
  <si>
    <t>25 MAYIS MAH. ORG. AYDOĞAN BABAOĞLU SOK. NO2/3 1   HAVZA SAMSUN</t>
  </si>
  <si>
    <t>547593</t>
  </si>
  <si>
    <t>ALKAN MARKET-MUSTAFA ALKAN</t>
  </si>
  <si>
    <t>05443320991</t>
  </si>
  <si>
    <t>GAZİ MAH.HASANLI SOK.NO:121       ÇARSAMBA SAMSUN</t>
  </si>
  <si>
    <t>548388</t>
  </si>
  <si>
    <t>YAVUZ GIDA BAKKAL-NURETTİN YAVUZ</t>
  </si>
  <si>
    <t>05392322184</t>
  </si>
  <si>
    <t>SARACLI MAH MENTESE SOK   ÜNYE ORDU</t>
  </si>
  <si>
    <t>548875</t>
  </si>
  <si>
    <t>SOK A.S. (5039 İSTİKLAL SAMSUN)</t>
  </si>
  <si>
    <t>ABDULLAH GÜL BULVARI NO:171/173 ATAKUM SAMSUN</t>
  </si>
  <si>
    <t>548876</t>
  </si>
  <si>
    <t>SOK A.S. (5040 KÖRFEZ SAMSUN)</t>
  </si>
  <si>
    <t>FATİH MAH.ŞHT.JANDARMA ÇVŞ EYYÜP KEPENEK CAD.NO:29-A ATAKUM SAMSUN</t>
  </si>
  <si>
    <t>550225</t>
  </si>
  <si>
    <t>KURTOĞLU MARKET NURULLAH KURT</t>
  </si>
  <si>
    <t>05307778759</t>
  </si>
  <si>
    <t>19 MAYIS MAH.ŞEHİR ER RAŞİT ÇAKIR SOK.   HAVZA SAMSUN</t>
  </si>
  <si>
    <t>550589</t>
  </si>
  <si>
    <t>SOK A.S. (5050 ON DOKUZ MAYIS ÜNİVERSİTESİ YAŞAM MERKEZİ)</t>
  </si>
  <si>
    <t>19 MAYIS ÜNİVERSİTESİ YAŞAM MERKEZİ ATAKUM SAMSUN</t>
  </si>
  <si>
    <t>550590</t>
  </si>
  <si>
    <t>SOK A.S. (5052 FEVZİ ÇAKMAK)</t>
  </si>
  <si>
    <t>MEVLANA CD.NO:96   ILKADIM SAMSUN</t>
  </si>
  <si>
    <t>550599</t>
  </si>
  <si>
    <t>Bİ DÜNYA KAHVE-YILMAZ AYTAÇ</t>
  </si>
  <si>
    <t>05324403638</t>
  </si>
  <si>
    <t>ÇİFTLİK MAH DİVİTÇİOĞLU CAD. NO: ILKADIM SAMSUN</t>
  </si>
  <si>
    <t>550919</t>
  </si>
  <si>
    <t>SOK A.S. (6926 SİNOP GERZE HAMİDİYE)</t>
  </si>
  <si>
    <t>HAMİDEYE MH.HAL CAD.NO:44</t>
  </si>
  <si>
    <t>551290</t>
  </si>
  <si>
    <t>İSHAK LALE LALE MARKET MANAV</t>
  </si>
  <si>
    <t>05456087312</t>
  </si>
  <si>
    <t>MEVLANA MAH MUHTAR KADİR ŞAHİN CAD. NO:28/1 BAFRA SAMSUN</t>
  </si>
  <si>
    <t>551752</t>
  </si>
  <si>
    <t>SOK A.S. (5088 GERZE ÇARŞI MAHALLESİ)</t>
  </si>
  <si>
    <t>ÇARŞI MH. ZİNCİRLİKUYU CD. NO:77/7-10-11 GERZE SINOP</t>
  </si>
  <si>
    <t>552408</t>
  </si>
  <si>
    <t>DAYI YEĞEN MARKET MANAV-ŞAKİR ÇELİK</t>
  </si>
  <si>
    <t>05464260601</t>
  </si>
  <si>
    <t>MERKEZ MAH IKIZCE ORDU</t>
  </si>
  <si>
    <t>553233</t>
  </si>
  <si>
    <t>SEZER BÜFE-NAZİF SEZER</t>
  </si>
  <si>
    <t>05427302592</t>
  </si>
  <si>
    <t>BOSTANCILI KÖYÜHAVAALANI YANI AFET EVLERİ KARŞISI   SINOP(MERKEZ) SINOP</t>
  </si>
  <si>
    <t>554735</t>
  </si>
  <si>
    <t>TEVFİK İLERİ İMAMHATİP ORTAOKULU AİLE BİRLİĞİ İKTİSADİ İŞLETMESİ</t>
  </si>
  <si>
    <t>05327937279</t>
  </si>
  <si>
    <t>CUMHURİYET MAH.RECEP TAYYİP ERDOĞAN BULVARI ATAKUM SAMSUN</t>
  </si>
  <si>
    <t>554811</t>
  </si>
  <si>
    <t>İNAÇ MARKET-METİN İNAÇ</t>
  </si>
  <si>
    <t>05422324482</t>
  </si>
  <si>
    <t>ÇAKALLI MH:NO:10|A     KAVAK SAMSUN</t>
  </si>
  <si>
    <t>556515</t>
  </si>
  <si>
    <t>SOK A.S. (5160 SAMSUN ATAKUM KÖRFEZ ÇİLİNGİROĞLU)</t>
  </si>
  <si>
    <t>KÖRFEZ MH. ÇİLİNGİROĞLU CD. NO:83</t>
  </si>
  <si>
    <t>556517</t>
  </si>
  <si>
    <t>SOK A.S. (5172 SAMSUN BARUTHANE)</t>
  </si>
  <si>
    <t>BARUTHANE MH. SAMANDAĞI SK. NO:12/1-2-3</t>
  </si>
  <si>
    <t>557955</t>
  </si>
  <si>
    <t>LADİK AKDAĞ YATIRIM (HAMAMAYAĞI)</t>
  </si>
  <si>
    <t>5326769433</t>
  </si>
  <si>
    <t>HAMAMAYAĞI LÂDIK SAMSUN</t>
  </si>
  <si>
    <t>558312</t>
  </si>
  <si>
    <t>FATMA ÇOLAK ÇOLAK BAKKALİYE</t>
  </si>
  <si>
    <t>05398579893</t>
  </si>
  <si>
    <t>SARIALAN MAH AŞLAMA SOK. NO:3 VEZIRKÖPRÜ SAMSUN</t>
  </si>
  <si>
    <t>558313</t>
  </si>
  <si>
    <t>ÇIPLAK BAKKAL-KEZİBAN ÇIPLAK</t>
  </si>
  <si>
    <t>05322055877</t>
  </si>
  <si>
    <t>SARIALAN MAH.AKSAKAL SK. NO:67/2 VEZIRKÖPRÜ SAMSUN</t>
  </si>
  <si>
    <t>558315</t>
  </si>
  <si>
    <t>ÇAKIR BAKKAL-MUSTAFA ÇAKIR</t>
  </si>
  <si>
    <t>05393621375</t>
  </si>
  <si>
    <t>ÇALKÖY MAH.   VEZIRKÖPRÜ SAMSUN</t>
  </si>
  <si>
    <t>559185</t>
  </si>
  <si>
    <t>KALE MARKET-BAYRAMCA ŞB.</t>
  </si>
  <si>
    <t>ÜNYE ÜNYE ORDU</t>
  </si>
  <si>
    <t>559418</t>
  </si>
  <si>
    <t>SADIK BAKKALİYESİ ENES DELEN</t>
  </si>
  <si>
    <t>05374121584</t>
  </si>
  <si>
    <t>TAHTAKÖPRÜ VEZIRKÖPRÜ SAMSUN</t>
  </si>
  <si>
    <t>560626</t>
  </si>
  <si>
    <t>SOK A.S. (5228 İLKADIM BAHÇELİEVLER)</t>
  </si>
  <si>
    <t>BAHÇELİEVLER MH.REŞAT NURİ GÜLTEKİN SOK. NO:9</t>
  </si>
  <si>
    <t>561828</t>
  </si>
  <si>
    <t>ŞAFFAK MARKET-METİN ŞAFFAK</t>
  </si>
  <si>
    <t>05383705992</t>
  </si>
  <si>
    <t>HACI İSMAİL MAH.CEVHER HASİBE HATUN SOK.NO:46   CANIK SAMSUN</t>
  </si>
  <si>
    <t>562159</t>
  </si>
  <si>
    <t>FATMA CİCOS</t>
  </si>
  <si>
    <t>05425046995</t>
  </si>
  <si>
    <t>KARABAHCE MAH.ORTA SOK.  ÇARSAMBA SAMSUN</t>
  </si>
  <si>
    <t>563872</t>
  </si>
  <si>
    <t>SOK A.S. (5290 SAMSUN CANİK SOĞUKSU)</t>
  </si>
  <si>
    <t>SOĞUKSU MH. ŞEHİT MESUT BİRİNCİ CD. NO:132</t>
  </si>
  <si>
    <t>564372</t>
  </si>
  <si>
    <t>AKGÜLLER GIDA PAZARI-AHMET AKGÜL</t>
  </si>
  <si>
    <t>5444627684</t>
  </si>
  <si>
    <t>ÇARŞAMBA ÇARSAMBA SAMSUN</t>
  </si>
  <si>
    <t>564899</t>
  </si>
  <si>
    <t>SOK A.S. (5311 SAMSUN ATAKUM ALANLI)</t>
  </si>
  <si>
    <t>YENİMAHALLE MH. 3417. CADDE NO:95/A</t>
  </si>
  <si>
    <t>567975</t>
  </si>
  <si>
    <t>SOK A.S. (5440 SAMSUN ATAKUM ESENEVLER)</t>
  </si>
  <si>
    <t>ESENEVLER MH. 388. SK. NO:2-2B</t>
  </si>
  <si>
    <t>567977</t>
  </si>
  <si>
    <t>SOK A.S. (5438 SAMSUN YAKAKENT)</t>
  </si>
  <si>
    <t>MERKEZMH.İNONU CD. NO:4A</t>
  </si>
  <si>
    <t>YAKAKENT</t>
  </si>
  <si>
    <t>567979</t>
  </si>
  <si>
    <t>SOK A.S. (5441 SİNOP CAMİKEBİR)</t>
  </si>
  <si>
    <t>CAMİKEBİR MH.TUZCULAR CD.NO:44/A</t>
  </si>
  <si>
    <t>569092</t>
  </si>
  <si>
    <t>ÜZEYİR BAYRAK BAKKAL</t>
  </si>
  <si>
    <t>05426452364</t>
  </si>
  <si>
    <t>KARAMUSTAFALI MAH GULPINAR SK NO56 ÇARSAMBA SAMSUN</t>
  </si>
  <si>
    <t>572001</t>
  </si>
  <si>
    <t>SOK A.S. (5630 SAMSUN ULUGAZİ)</t>
  </si>
  <si>
    <t>ULUGAZİ MH. YİĞİT SK.AK, NO:1/04-05-06-07-08-09-10-11-12 ILKADIM SAMSUN</t>
  </si>
  <si>
    <t>572132</t>
  </si>
  <si>
    <t>SOK A.S. (5649 SAMSUN KADIKÖY)</t>
  </si>
  <si>
    <t>KADIKÖY MH. KADI CD. NO:4/1</t>
  </si>
  <si>
    <t>573052</t>
  </si>
  <si>
    <t>KOÇOĞULLARI PETROL DAĞ.NAK.LTD.ŞTİ</t>
  </si>
  <si>
    <t>05345000190</t>
  </si>
  <si>
    <t>Benzin Istasyonu</t>
  </si>
  <si>
    <t>ATATÜRK MAH SAMSUN CAD. NO:103 VEZIRKÖPRÜ SAMSUN</t>
  </si>
  <si>
    <t>573059</t>
  </si>
  <si>
    <t>US GIDA PAZARI-YUSUF ZİYA US</t>
  </si>
  <si>
    <t>05466673752</t>
  </si>
  <si>
    <t>YENI MH. SAGLIK SK.  HAVZA SAMSUN</t>
  </si>
  <si>
    <t>573060</t>
  </si>
  <si>
    <t>OĞUZLAR MARKET-DURSUN OĞUZ</t>
  </si>
  <si>
    <t>05459235515</t>
  </si>
  <si>
    <t>ÇAY MH. SEKER SK. 105 HAVZA SAMSUN</t>
  </si>
  <si>
    <t>582368</t>
  </si>
  <si>
    <t>BAKKAL MELEK TOSUN</t>
  </si>
  <si>
    <t>05453713615</t>
  </si>
  <si>
    <t>ÇAY MAH.19.SOK.    TEKKEKÖY SAMSUN</t>
  </si>
  <si>
    <t>586269</t>
  </si>
  <si>
    <t>EVLİÇOĞLU MARKET-NECATİ YAŞAR EVLİÇOĞLU</t>
  </si>
  <si>
    <t>05435450883</t>
  </si>
  <si>
    <t>BAHÇELİEVLER MAH.ŞAİR FUZULİ SOK.NO:23    ILKADIM SAMSUN</t>
  </si>
  <si>
    <t>586280</t>
  </si>
  <si>
    <t>MIGROS TiC. A.S. (798 SAMSUN MMM MİGROS)</t>
  </si>
  <si>
    <t>SAMSUN GAZI MH. SEHIT MESUT 1. CD.</t>
  </si>
  <si>
    <t>586281</t>
  </si>
  <si>
    <t>CARREFOUR SABANCI TİC.MRKZ.A.S. (3031 SAMSUN ATAKUM SÜPER)</t>
  </si>
  <si>
    <t>UZ 1000-2500m2 arası</t>
  </si>
  <si>
    <t>MUSTAFA KEMAL BULVARI MİMAR SİNAN MH. NO:184</t>
  </si>
  <si>
    <t>586282</t>
  </si>
  <si>
    <t>MÜLAYİM TUĞLU DOSTLAR SÜPERMARKET</t>
  </si>
  <si>
    <t>05558026061</t>
  </si>
  <si>
    <t>HANÇERLİ MAH NECATİ EFENDİ CAD. NO:133 ILKADIM SAMSUN</t>
  </si>
  <si>
    <t>586304</t>
  </si>
  <si>
    <t>MIGROS TiC. A.S. (1834 ATAKUM SAMSUN MM MİGROS)</t>
  </si>
  <si>
    <t>DENIZEVLER MAH.ATATÜRK BLV.NO:146 (YEŞILYURT AVM) ATAKUM SAMSUN</t>
  </si>
  <si>
    <t>586311</t>
  </si>
  <si>
    <t>GÜVEN MARKET-MURAT GÜVEN</t>
  </si>
  <si>
    <t>05372394204</t>
  </si>
  <si>
    <t>GAZIOSMANPASA MAH.SEKER AHMET SK. NO:22    CANIK SAMSUN</t>
  </si>
  <si>
    <t>586328</t>
  </si>
  <si>
    <t>MERİÇ BAKKAL-AYŞE MERİÇ</t>
  </si>
  <si>
    <t>05343309965</t>
  </si>
  <si>
    <t>KARAGÖL MAH.ÇEŞME SOK.NO:1 19MAYIS SAMSUN</t>
  </si>
  <si>
    <t>586342</t>
  </si>
  <si>
    <t>HÜLYA TURGUTER -NAZMİYE DEMİREL ORTAOKULU KANTİNİ</t>
  </si>
  <si>
    <t>5435175453</t>
  </si>
  <si>
    <t>FATİH MAH. SERA SOK. NO:15 BAFRA SAMSUN</t>
  </si>
  <si>
    <t>586355</t>
  </si>
  <si>
    <t>AHMET AYDOĞAN BAKKAL</t>
  </si>
  <si>
    <t>05363686532</t>
  </si>
  <si>
    <t>BAFRA GAZIBEYLI KÖYÜ</t>
  </si>
  <si>
    <t>586361</t>
  </si>
  <si>
    <t>ANARAT MARKET - SONER ANARAT</t>
  </si>
  <si>
    <t>05424798421</t>
  </si>
  <si>
    <t>YAKA MAH. ATATÜRK CAD. NO:13  BAFRA SAMSUN</t>
  </si>
  <si>
    <t>586372</t>
  </si>
  <si>
    <t>EMİN HÜSEYİN FİDAN BAKKAL</t>
  </si>
  <si>
    <t>05422819763</t>
  </si>
  <si>
    <t>AKTEKKE KÖYÜ    BAFRA SAMSUN</t>
  </si>
  <si>
    <t>586378</t>
  </si>
  <si>
    <t>GÜVEN MARKET NAKLİYE İPRAGAZ-HAKAN BERŞE</t>
  </si>
  <si>
    <t>05326769433</t>
  </si>
  <si>
    <t>CUMHURIYET MEYDANI  ASARCIK SAMSUN</t>
  </si>
  <si>
    <t>586396</t>
  </si>
  <si>
    <t>KAYA MARKET-FATMA KAYA</t>
  </si>
  <si>
    <t>05385553559</t>
  </si>
  <si>
    <t>G.OSMANPASA MAH. S.MESUT 1. CAD. NO:216      CANIK SAMSUN</t>
  </si>
  <si>
    <t>586398</t>
  </si>
  <si>
    <t>KARAŞIN TİCARET-İDRİS KARAŞIN</t>
  </si>
  <si>
    <t>05446994321</t>
  </si>
  <si>
    <t>ATATÜRK MAH. MEHMET ÇETİN CAD. NO:52/A ASARCIK SAMSUN</t>
  </si>
  <si>
    <t>586405</t>
  </si>
  <si>
    <t>AKYOL GIDA-ALAATTİN AKYOL</t>
  </si>
  <si>
    <t>05333486745</t>
  </si>
  <si>
    <t>SELAHIYE MAH.MEKTEP SOK.NO:41 ILKADIM SAMSUN</t>
  </si>
  <si>
    <t>586448</t>
  </si>
  <si>
    <t>EFE GIDA-ALİ ÇETİN</t>
  </si>
  <si>
    <t>05464813493</t>
  </si>
  <si>
    <t>YENIDOGAN MAH. AKASYA SOK. NO:30 ILKADIM SAMSUN</t>
  </si>
  <si>
    <t>586449</t>
  </si>
  <si>
    <t>MERTHAN GIDA-FATİH TURSUN</t>
  </si>
  <si>
    <t>05466463861</t>
  </si>
  <si>
    <t>YAŞARDOĞU MAH.KAYHAN SOK.   ILKADIM SAMSUN</t>
  </si>
  <si>
    <t>586461</t>
  </si>
  <si>
    <t>KAR-MAR ÖZBİNİCİLER MARKET-KADİR BİNİCİ</t>
  </si>
  <si>
    <t>05326173288</t>
  </si>
  <si>
    <t>ANADOLU MAH. HAVUZ SOK. NO:56     ILKADIM SAMSUN</t>
  </si>
  <si>
    <t>586475</t>
  </si>
  <si>
    <t>KARATAŞ TİCARET-BÜLENT KARATAŞ</t>
  </si>
  <si>
    <t>05322156524</t>
  </si>
  <si>
    <t>BİÇİNCİK MAH. ADNAN MENDERS CAD. NO:29/A ASARCIK SAMSUN</t>
  </si>
  <si>
    <t>586485</t>
  </si>
  <si>
    <t>TORUNOĞLU MARKET-MEHMET TORUN</t>
  </si>
  <si>
    <t>05438306555</t>
  </si>
  <si>
    <t>DEĞİRMENBAŞI CAD.MÜFTÜOĞLU SOK.NO:28 ÇARSAMBA SAMSUN</t>
  </si>
  <si>
    <t>586498</t>
  </si>
  <si>
    <t>ÇAĞLAR MARKET-FERİDUN ÇAĞLAR</t>
  </si>
  <si>
    <t>05438506667</t>
  </si>
  <si>
    <t>BAFRACALI KÖYÜ YENİ MAH.NO:3 ÇARSAMBA SAMSUN</t>
  </si>
  <si>
    <t>586541</t>
  </si>
  <si>
    <t>BAKKAL AHMET GÜLAÇTI</t>
  </si>
  <si>
    <t>05303744655</t>
  </si>
  <si>
    <t>Y.DONURLU KÖTÜ ÇARSAMBA SAMSUN</t>
  </si>
  <si>
    <t>586544</t>
  </si>
  <si>
    <t>İNDİRİM MARKET 1-CELALETTİN SAĞLAM</t>
  </si>
  <si>
    <t>05522379909</t>
  </si>
  <si>
    <t>ÇAY MAH. K. HAMAM SOK. NO:7 ÇARSAMBA SAMSUN</t>
  </si>
  <si>
    <t>586548</t>
  </si>
  <si>
    <t>YAREN KANTİN-EROL BOLAT</t>
  </si>
  <si>
    <t>05326333236</t>
  </si>
  <si>
    <t>DEGIRMENBASI CAD.NO:192    ÇARSAMBA SAMSUN</t>
  </si>
  <si>
    <t>586557</t>
  </si>
  <si>
    <t>BAKKAL-ŞABAN ALBAYRAK</t>
  </si>
  <si>
    <t>05316773872</t>
  </si>
  <si>
    <t>SEYHGÜVEN KÖYÜ   ÇARSAMBA SAMSUN</t>
  </si>
  <si>
    <t>586563</t>
  </si>
  <si>
    <t>SARPDAĞ GIDA PAZARI-ZÜLFİYE SARPDAĞ</t>
  </si>
  <si>
    <t>05353633001</t>
  </si>
  <si>
    <t>ATAKÖY KISLA MAH. NO:87  ÇARSAMBA SAMSUN</t>
  </si>
  <si>
    <t>586567</t>
  </si>
  <si>
    <t>ÖZTÜRK MARKET-ÖZTÜRK ŞAHİN</t>
  </si>
  <si>
    <t>05448218585</t>
  </si>
  <si>
    <t>SAKARLI GÜZELYALI MEVKII HÜRRIYET MAH. TERME SAMSUN</t>
  </si>
  <si>
    <t>586579</t>
  </si>
  <si>
    <t>MALKOÇ GIDA-İSMET MALKOÇ</t>
  </si>
  <si>
    <t>05376333381</t>
  </si>
  <si>
    <t>ÇINARLIK MH. KÖSEOGLU SK. 53 ÜNYE ORDU</t>
  </si>
  <si>
    <t>586587</t>
  </si>
  <si>
    <t>YAVUZ MARKET-MUHİTTİN YAVUZ</t>
  </si>
  <si>
    <t>05386817879</t>
  </si>
  <si>
    <t>SARAÇLI MAH.MENTEŞE SOK.NO:1       ÜNYE ORDU</t>
  </si>
  <si>
    <t>586596</t>
  </si>
  <si>
    <t>AKYAZI MİNİ MARKET-S.FERHAT AKYAZI</t>
  </si>
  <si>
    <t>05444764797</t>
  </si>
  <si>
    <t>ELMALIK MAH MERKEZ SOK NO:52 TERME SAMSUN</t>
  </si>
  <si>
    <t>586598</t>
  </si>
  <si>
    <t>BÜLBÜL GIDA-ABDULLAH BÜLBÜL</t>
  </si>
  <si>
    <t>05428083067</t>
  </si>
  <si>
    <t>SÖGÜTLÜ BELDESI CUMHURIYET MH.       TERME SAMSUN</t>
  </si>
  <si>
    <t>586600</t>
  </si>
  <si>
    <t>GÖLYAZI GIDA-ZÜBEYDE MACE</t>
  </si>
  <si>
    <t>05436771662</t>
  </si>
  <si>
    <t>GÖLYAZI TERME SAMSUN</t>
  </si>
  <si>
    <t>586604</t>
  </si>
  <si>
    <t>ALİ BABA TRABZON EKMEK FIRINI -MURAT GÜL</t>
  </si>
  <si>
    <t>05427792743</t>
  </si>
  <si>
    <t>BELEN MAH.AKKUŞ CAD.KÜMEEVLERİ  ÜNYE ORDU</t>
  </si>
  <si>
    <t>586614</t>
  </si>
  <si>
    <t>YALÇIN TİCARET-REMZİYE YALÇIN</t>
  </si>
  <si>
    <t>05427444921</t>
  </si>
  <si>
    <t>YENI MH. VARILCI SK. 1/ASINOP(MERKEZ) SINOP</t>
  </si>
  <si>
    <t>586622</t>
  </si>
  <si>
    <t>DSİ EĞİTİM DİNLENME TESİSLERİ</t>
  </si>
  <si>
    <t>05304658818</t>
  </si>
  <si>
    <t>DSİ SINOP(MERKEZ) SINOP</t>
  </si>
  <si>
    <t>588151</t>
  </si>
  <si>
    <t>SOK A.S. (5684 ATAKENT/BULVAR)</t>
  </si>
  <si>
    <t>YENİ MH. 3217.SK.NO:1 ATAKUM SAMSUN</t>
  </si>
  <si>
    <t>588152</t>
  </si>
  <si>
    <t>SOK A.S. (5676 KORUPARK)</t>
  </si>
  <si>
    <t>ÇOBANLI MH. AYDINLIK CD. KORUPARK AVM ATAKUM SAMSUN</t>
  </si>
  <si>
    <t>592519</t>
  </si>
  <si>
    <t>SOK A.S. (5839 CANIK MEKKE CADDESİ)</t>
  </si>
  <si>
    <t>KARŞIYAKA MH. CENGİZ TOPEL CD. NO:10</t>
  </si>
  <si>
    <t>594854</t>
  </si>
  <si>
    <t>SOK A.S. (5880 SAMSUN BAFRA BULVAR)</t>
  </si>
  <si>
    <t>TABAKHANE MH. ATATÜRK BULVARI NO:81</t>
  </si>
  <si>
    <t>594856</t>
  </si>
  <si>
    <t>SOK A.S. (5878 SAMSUN ADALET MAHALLESİ)</t>
  </si>
  <si>
    <t>ADALET MH. 100.YIL BULVARI NO:262/35</t>
  </si>
  <si>
    <t>596328</t>
  </si>
  <si>
    <t>ÇİLEK GIDA-MELTEM AKYAZI</t>
  </si>
  <si>
    <t>05326571661</t>
  </si>
  <si>
    <t>ESENEVLER MAH.377 SOK.NO:30 ATAKUM SAMSUN</t>
  </si>
  <si>
    <t>596984</t>
  </si>
  <si>
    <t>SOK A.S. (5928 SAMSUN ATAKUM ÇOBANLI DURAĞI)</t>
  </si>
  <si>
    <t>YENİ MAHALLE MH. 3139. SK. NO:1</t>
  </si>
  <si>
    <t>596986</t>
  </si>
  <si>
    <t>SOK A.S. (5929 SİNOP YENİMAHALLE)</t>
  </si>
  <si>
    <t>YENİ MAH DOLUNAY SOK. NO:8/36 MERKEZ SINOP</t>
  </si>
  <si>
    <t>597106</t>
  </si>
  <si>
    <t>CANİKLİ UNLU GIDA-DİLEK CENİKLİOĞLU</t>
  </si>
  <si>
    <t>05418666123</t>
  </si>
  <si>
    <t>GAZİOSMANPAŞA MAH.143.SOK. CANIK SAMSUN</t>
  </si>
  <si>
    <t>599605</t>
  </si>
  <si>
    <t>MERKEZ MARKET-ADEM ERMEZ</t>
  </si>
  <si>
    <t>05418726631</t>
  </si>
  <si>
    <t>BÜYÜKLÜ TEKKEKÖY SAMSUN</t>
  </si>
  <si>
    <t>602220</t>
  </si>
  <si>
    <t>AKGÜN MARKET-SELAHATTİN AKGÜN</t>
  </si>
  <si>
    <t>05384389383</t>
  </si>
  <si>
    <t>YEŞİLOVA MAH.ÇİFTLİK CAD. CANIK SAMSUN</t>
  </si>
  <si>
    <t>602719</t>
  </si>
  <si>
    <t>KARAKUM MARKET-MUSTAFA KARAKUM</t>
  </si>
  <si>
    <t>05364231169</t>
  </si>
  <si>
    <t>GAZİ MAH.ŞEHİT MESUT 1.CAD. CANIK SAMSUN</t>
  </si>
  <si>
    <t>604726</t>
  </si>
  <si>
    <t>19 MAYIS POLİS MESLEKYÜKSEK OKULU KANTİNİ-FERİT İNAN</t>
  </si>
  <si>
    <t>05055242181</t>
  </si>
  <si>
    <t>ENGIZ</t>
  </si>
  <si>
    <t>606876</t>
  </si>
  <si>
    <t>SOK A.S. (8025 SAMSUN ALAÇAM ALPARSLAN)</t>
  </si>
  <si>
    <t>ALPARSLAN MH. BAFRA CD. NO:163/1-2 ALAÇAM SAMSUN</t>
  </si>
  <si>
    <t>607088</t>
  </si>
  <si>
    <t>KARACA PETROL MADEN.NAK.TARIM ÜR.SAN.TİC.LTD.ŞTİ</t>
  </si>
  <si>
    <t>05495515511</t>
  </si>
  <si>
    <t>DEMİRASLAN MAH. AŞAĞI SK. NO:4 ÇARSAMBA SAMSUN</t>
  </si>
  <si>
    <t>607320</t>
  </si>
  <si>
    <t>SOK A.S. (8042 ORDU ÜNYE ÇAKIRTEPE MAĞZASI)</t>
  </si>
  <si>
    <t>ATATÜRK MH. YURDUM SK. TAŞKENT SİT. A1 BLOK APARTMANI NO:3 A1/6   ÜNYE ORDU</t>
  </si>
  <si>
    <t>608868</t>
  </si>
  <si>
    <t>SOK A.S. (5971 SAMSUN BAFRA MEVLANA)</t>
  </si>
  <si>
    <t>MEVLANA MH. YUKARI BAKIRPINAR SK. BUKET APT. ŞİMŞEK İNŞAAT SİT. NO:23-25/A-B       BAFRA SAMSUN</t>
  </si>
  <si>
    <t>609361</t>
  </si>
  <si>
    <t>AK PETROL-ALİ AK</t>
  </si>
  <si>
    <t>05332518029</t>
  </si>
  <si>
    <t>HALKAHAVLİ MAH. HALKAHAVLİ SK. NO:61 VEZIRKÖPRÜ SAMSUN</t>
  </si>
  <si>
    <t>611127</t>
  </si>
  <si>
    <t>BEREKET TAVUK MARKET-BERKANT NASUHBEYOĞLU</t>
  </si>
  <si>
    <t>05444309125</t>
  </si>
  <si>
    <t>19 MAYIS MH KAHVECI OGLU SK</t>
  </si>
  <si>
    <t>611614</t>
  </si>
  <si>
    <t>ÖZGÜR BAKKAL-CELAL DENİZ</t>
  </si>
  <si>
    <t>05414646155</t>
  </si>
  <si>
    <t>YESILYURT MH. YUKARI MEVKI SK. NO:6 19 MAYIS SAMSUN</t>
  </si>
  <si>
    <t>611773</t>
  </si>
  <si>
    <t>ULUAĞAÇ MARKET-ÖMER TURSUN</t>
  </si>
  <si>
    <t>05425846444</t>
  </si>
  <si>
    <t>YASARDOGU MH KAYHAN SK NO:65</t>
  </si>
  <si>
    <t>613552</t>
  </si>
  <si>
    <t>SAMSUN GÖÇ TİCARET-SEYFİ GÖÇ</t>
  </si>
  <si>
    <t>05378974625</t>
  </si>
  <si>
    <t>CAMI MH 8215.SK NO:12</t>
  </si>
  <si>
    <t>613595</t>
  </si>
  <si>
    <t>SOK A.S. (8136 ESENTEPE-ATAKUM)</t>
  </si>
  <si>
    <t>ESENEVLER MH. ŞEHİT ALAADDİN PERGEL CD. NO:52-52A ATAKUM SAMSUN</t>
  </si>
  <si>
    <t>615568</t>
  </si>
  <si>
    <t>ATİK TURİSTİK SERVİS VE OTELCİLİK</t>
  </si>
  <si>
    <t>.</t>
  </si>
  <si>
    <t>Turizm</t>
  </si>
  <si>
    <t>ATATURK MAH DEVLET SAHILYOLU</t>
  </si>
  <si>
    <t>616351</t>
  </si>
  <si>
    <t>SOK A.S. (8207 GAZİ SİTESİ-SAMSUN)</t>
  </si>
  <si>
    <t>KAZIMKARABEKİR MH OKAN SK. NO:7/A İLKADIM SAMSUN(MERKEZ) SAMSUN</t>
  </si>
  <si>
    <t>616550</t>
  </si>
  <si>
    <t>AYTAŞ YEMEK-İLHAN AYTAŞ</t>
  </si>
  <si>
    <t>05424854156</t>
  </si>
  <si>
    <t>Catering</t>
  </si>
  <si>
    <t>YENİ MAH.EMEK CAD.NO:37 CANIK SAMSUN</t>
  </si>
  <si>
    <t>617753</t>
  </si>
  <si>
    <t>SOK A.S. (8245 NİŞANTAŞI)</t>
  </si>
  <si>
    <t>KÜÇÜKKOLPINAR MH. BORNOVA CD. NO:71/A ATAKUM SAMSUN</t>
  </si>
  <si>
    <t>618260</t>
  </si>
  <si>
    <t>SOK A.S. (8256 KÖKÇÜOĞLU/SAMSUN)</t>
  </si>
  <si>
    <t>KÖKÇÜOĞLU MH. 2. BULVAR NO:94/1 İLKADIM SAMSUN(MERKEZ) SAMSUN</t>
  </si>
  <si>
    <t>618261</t>
  </si>
  <si>
    <t>SOK A.S. (8246 ALTINYAPRAK/BAFRA)</t>
  </si>
  <si>
    <t>ALTIN YAPRAK MH. DUHA SERKAYA BULVARI NO:60/A-60/B BAFRA SAMSUN</t>
  </si>
  <si>
    <t>619902</t>
  </si>
  <si>
    <t>SOK A.S. (8291 GERZE ATATÜRK)</t>
  </si>
  <si>
    <t>ATATURK MH. SİNOP CD. NO:91/Z2-B1 GERZE SINOP</t>
  </si>
  <si>
    <t>619903</t>
  </si>
  <si>
    <t>SOK A.S. (8293 KILIÇEVLER ATAKUM)</t>
  </si>
  <si>
    <t>YENİMAHALLE MH. 3078. SK. NO:11/A ATAKUM SAMSUN</t>
  </si>
  <si>
    <t>620228</t>
  </si>
  <si>
    <t>SOK A.S. (8304 KARADENİZ/SAMSUN)</t>
  </si>
  <si>
    <t>DEREBAHÇE MH. KARADENİZ CD. NO:119/1-2   ILKADIM SAMSUN</t>
  </si>
  <si>
    <t>620413</t>
  </si>
  <si>
    <t>SOK A.S. (8319 AŞİYAN/SİNOP)</t>
  </si>
  <si>
    <t>ADA MH. KIVRIK SK. NO:7/2-3-4-5 SINOP(MERKEZ) SINOP</t>
  </si>
  <si>
    <t>623339</t>
  </si>
  <si>
    <t>SOK A.S. (8364 ÇARŞAMBA/DEĞİRMENBAŞI)</t>
  </si>
  <si>
    <t>KİRAZLIK ÇAY MH. 220 SK. NO:100/A ÇARSAMBA SAMSUN</t>
  </si>
  <si>
    <t>623341</t>
  </si>
  <si>
    <t>SOK A.S. (8368 SAMSUN/PİRİ REİS)</t>
  </si>
  <si>
    <t>FEVZİ ÇAKMAK MH. PİRİ REİS CD. NO:22/13-14 ILKADIM SAMSUN</t>
  </si>
  <si>
    <t>623342</t>
  </si>
  <si>
    <t>SOK A.S. (8394 ATAKUM/GÜZELYALI)</t>
  </si>
  <si>
    <t>GÜZELYALI MH. ATATÜRK 3. KISIM BULVARI NO:208/A ATAKUM SAMSUN</t>
  </si>
  <si>
    <t>624142</t>
  </si>
  <si>
    <t>KİBAR MARKET-YADİGAR KİPER</t>
  </si>
  <si>
    <t>05398942455</t>
  </si>
  <si>
    <t>KIBARLAR KIBZRLAR KÖYÜ</t>
  </si>
  <si>
    <t>624476</t>
  </si>
  <si>
    <t>SOK A.S. (8411 SAMSUN ATAKUM FATİH CD.)</t>
  </si>
  <si>
    <t>YENİMAHALLE MH. FATİH CD. NO:68-70/A-B ATAKUM SAMSUN</t>
  </si>
  <si>
    <t>625217</t>
  </si>
  <si>
    <t>SOK A.S. (8456 2. BULVAR/SAMSUN)</t>
  </si>
  <si>
    <t>LİMAN MH. 2. BULVAR YOLU NO:17/5 ILKADIM SAMSUN</t>
  </si>
  <si>
    <t>625218</t>
  </si>
  <si>
    <t>SOK A.S. (8469 ATAKENT İSTİKLAL CD.)</t>
  </si>
  <si>
    <t>YENİMAHALLE MH. 3092. SK. NO:9A ATAKUM SAMSUN</t>
  </si>
  <si>
    <t>625219</t>
  </si>
  <si>
    <t>SOK A.S. (8468 YAŞARDOĞU/KAVAK)</t>
  </si>
  <si>
    <t>YAŞAR DOĞU MH. ADNAN MENDERES CD. YETER ALASULU AP. NO:148/1 KAVAK SAMSUN</t>
  </si>
  <si>
    <t>625220</t>
  </si>
  <si>
    <t>SOK A.S. (8462 SONDURAK/CANİK)</t>
  </si>
  <si>
    <t>GAZİ OSMAN PAŞA MH. MARTI SK. NO1/4-5 CANIK SAMSUN</t>
  </si>
  <si>
    <t>626875</t>
  </si>
  <si>
    <t>SOK A.S. (8587 KIŞLA MH./İLKADIM)</t>
  </si>
  <si>
    <t>KIŞLA MH. GEBİ CD. NO:280/1 ILKADIM SAMSUN</t>
  </si>
  <si>
    <t>626876</t>
  </si>
  <si>
    <t>SOK A.S. (8584 HASKÖY/CANİK)</t>
  </si>
  <si>
    <t>HASKÖY MH. ÜSKÜP CD. B BLOK NO:17/2-3   CANIK SAMSUN</t>
  </si>
  <si>
    <t>626877</t>
  </si>
  <si>
    <t>SOK A.S. (8588 YEŞİLPELİT/ATAKUM)</t>
  </si>
  <si>
    <t>KÖRFEZ MH. İSMET İNÖNÜ BULVARI NO:135-137/A-B ATAKUM SAMSUN</t>
  </si>
  <si>
    <t>628312</t>
  </si>
  <si>
    <t>SOK A.S. (8727 SAMSUN VEZİRKÖPRÜ ÇAMLIK)</t>
  </si>
  <si>
    <t>CUMHURİYET MH. GENÇLİK CD. ÇAMLIK APT. SİTESİ NO:53/3-4 VEZIRKÖPRÜ SAMSUN</t>
  </si>
  <si>
    <t>629014</t>
  </si>
  <si>
    <t>SOK A.S. (8843 SAMSUN İLKADIM SİTELER BULVARI)</t>
  </si>
  <si>
    <t>KAZIMKARABEKİR MH. CUBUK SK. NO:9/19 ILKADIM SAMSUN</t>
  </si>
  <si>
    <t>630424</t>
  </si>
  <si>
    <t>ZİRVE MARKET-3- MUSA CENİKLİOĞLU</t>
  </si>
  <si>
    <t>05414474577</t>
  </si>
  <si>
    <t>KISLA MH. KARPUZLU SK. NO:9</t>
  </si>
  <si>
    <t>631902</t>
  </si>
  <si>
    <t>SOK A.S. (8927 CANİK YENİMAHALLE)</t>
  </si>
  <si>
    <t>YENİ MAHALLE MH. 100. YIL BLVARI NO:1/1-2-3 CANIK SAMSUN</t>
  </si>
  <si>
    <t>631904</t>
  </si>
  <si>
    <t>SOK A.S. (8619 ATAKUM MİMARSİNAN)</t>
  </si>
  <si>
    <t>MİMARSİNAN MH. 185 SK. NO:2/15 ATAKUM SAMSUN</t>
  </si>
  <si>
    <t>631905</t>
  </si>
  <si>
    <t>SOK A.S. (8610 ATAKUM PELİTKÖY)</t>
  </si>
  <si>
    <t>KÖRFEZ MH. TOPLU KONUT BULVARI NO:10/A-B-D-E ATAKUM SAMSUN</t>
  </si>
  <si>
    <t>632839</t>
  </si>
  <si>
    <t>SOK A.S. (8976 SAMSUN KADİFEKALE)</t>
  </si>
  <si>
    <t>KADİFE KALE MH. IHLAMURLU SK. NO:48/31-32 ILKADIM SAMSUN</t>
  </si>
  <si>
    <t>634164</t>
  </si>
  <si>
    <t>BAFRA DEVLET HASTANESİ KANTİNİ-HALİSE TURGUTER</t>
  </si>
  <si>
    <t>MEVLANA MH.İSHAKLI MAH.BAYRAK SOK</t>
  </si>
  <si>
    <t>635713</t>
  </si>
  <si>
    <t>SOK A.S. (9020 ÇARŞAMBA ORTA MAHALLE)</t>
  </si>
  <si>
    <t>ORTA MH. ALLE DR.ORHAN ATILGAN CD. NO:7/A   ÇARSAMBA SAMSUN</t>
  </si>
  <si>
    <t>636965</t>
  </si>
  <si>
    <t>SOK A.S. (8625 SAMSUN TEKKEKÖY 19 MAYIS MAĞZASI)</t>
  </si>
  <si>
    <t>19 MAYIS MH. 624.CD. A-B BLOK NO:23/1A TEKKEKÖY SAMSUN</t>
  </si>
  <si>
    <t>637028</t>
  </si>
  <si>
    <t>SOK A.S. (9034 SİNOP ZEYTİNLİK)</t>
  </si>
  <si>
    <t>ZEYTİNLİK MH. GÜLBAHAR (SİNOP KENT KOOP.) NO:12/A SINOP(MERKEZ) SINOP</t>
  </si>
  <si>
    <t>637345</t>
  </si>
  <si>
    <t>SOK A.S. (9044 BAFRA GENÇLİK CADDESİ)</t>
  </si>
  <si>
    <t>ALTINYAPRAK MH. GENÇLİK CD. NO128/A BAFRA SAMSUN</t>
  </si>
  <si>
    <t>639691</t>
  </si>
  <si>
    <t>YONCAM MARKET-AHMET BİNEN</t>
  </si>
  <si>
    <t>05356107193</t>
  </si>
  <si>
    <t>ORTAYILMAZLAR MAH</t>
  </si>
  <si>
    <t>639713</t>
  </si>
  <si>
    <t>KAÇAR GIDA SELVİNAZ KAÇAR</t>
  </si>
  <si>
    <t>05398449730</t>
  </si>
  <si>
    <t>KAMLIK MAH NO:106 HAVZA SAMSUN</t>
  </si>
  <si>
    <t>Bim</t>
  </si>
  <si>
    <t>643471</t>
  </si>
  <si>
    <t>SOK A.S. (9197 SAMSUN ATAKUM AZARBEYCAN CADDESİ)</t>
  </si>
  <si>
    <t>CUMHURİYET MH. AZARBEYCAN CD. NO:9A-9B ATAKUM SAMSUN</t>
  </si>
  <si>
    <t>645566</t>
  </si>
  <si>
    <t>TOPRAK MARKET-AHMET TOPRAK</t>
  </si>
  <si>
    <t>05066271314</t>
  </si>
  <si>
    <t>Akören Köy VEZIRKÖPRÜ SAMSUN</t>
  </si>
  <si>
    <t>645863</t>
  </si>
  <si>
    <t>BİZİM MARKET-TURGUT KABADAYI</t>
  </si>
  <si>
    <t>05373325014</t>
  </si>
  <si>
    <t>ULUDAG MAH. ESKI KONAK SOK. NO:27/1 CANIK SAMSUN</t>
  </si>
  <si>
    <t>648818</t>
  </si>
  <si>
    <t>SOK A.S. (13535 SAMSUN ATAKUM KAMALI TOKİ)</t>
  </si>
  <si>
    <t>ATATEPE MAH 3514. SOK. NO:31 ATAKUM SAMSUN</t>
  </si>
  <si>
    <t>650175</t>
  </si>
  <si>
    <t>DÜNYA VEDDİNG PORT-KURTULUŞ ALTUN</t>
  </si>
  <si>
    <t>05435696464</t>
  </si>
  <si>
    <t>Düğün Salonu</t>
  </si>
  <si>
    <t>SAMSUN-ORDU KARAYOLU 1ÇKM CANIK SAMSUN</t>
  </si>
  <si>
    <t>652403</t>
  </si>
  <si>
    <t>SOK A.S. (9439 SAMSUN ENGİZ)</t>
  </si>
  <si>
    <t>CUMHURİYET MH. ATATÜRK BULVARI NO:36/2-19 19MAYIS SAMSUN</t>
  </si>
  <si>
    <t>652404</t>
  </si>
  <si>
    <t>SOK A.S. (9440 SAMSUN 19 MAYIS CUMHURİYET MAHALLESİ)</t>
  </si>
  <si>
    <t>CUMHURİYET MH. SUAT KILIÇ BULVARI NO:30/1-19 19MAYIS SAMSUN</t>
  </si>
  <si>
    <t>653408</t>
  </si>
  <si>
    <t>NEBİYANLI-YAKUP AKKURT</t>
  </si>
  <si>
    <t>05332229589</t>
  </si>
  <si>
    <t>ORMANCIK MH. KUSCULAR SK. NO18 19MAYIS SAMSUN</t>
  </si>
  <si>
    <t>654738</t>
  </si>
  <si>
    <t>SOK A.S. (9535 SAMSUN HAVZA BAHÇELİEVLER)</t>
  </si>
  <si>
    <t>BAHÇELİEVLER MH. JANDARMA YARBAY MESUT KURU CD. NO:79 HAVZA SAMSUN</t>
  </si>
  <si>
    <t>654739</t>
  </si>
  <si>
    <t>SOK A.S. (9568 SİNOP OKULALTI)</t>
  </si>
  <si>
    <t>YENİ MAHALLE OKULALTI SK. NO:1/A SINOP(MERKEZ) SINOP</t>
  </si>
  <si>
    <t>654740</t>
  </si>
  <si>
    <t>SOK A.S. (9553 SİNOP ERFELEK)</t>
  </si>
  <si>
    <t>MERKEZ MH. ŞEHİT KENAN DÖNGEL CD. NO:1/1-2-3 ERFELEK SINOP</t>
  </si>
  <si>
    <t>ERFELEK</t>
  </si>
  <si>
    <t>654748</t>
  </si>
  <si>
    <t>SOK A.S. (9545 SAMSUN CANİK CENGİZTOPEL CADDESİ)</t>
  </si>
  <si>
    <t>HASKÖY MH. GÜRDAL SK. NO:8/17-18-19 CANIK SAMSUN</t>
  </si>
  <si>
    <t>656180</t>
  </si>
  <si>
    <t>SOK A.S. (9624 SAMSUN KUTLUKENT)</t>
  </si>
  <si>
    <t>İSTİKLAL MH. 23 NİSAN CD. NO:26/A-B-C-E TEKKEKÖY SAMSUN</t>
  </si>
  <si>
    <t>657789</t>
  </si>
  <si>
    <t>SOK A.S. (9673 SAMSUN ATAKUM MERKEZ)</t>
  </si>
  <si>
    <t>MİMAR SİNAN MH. 144.SK. ,NO:5/A-B-C ATAKUM SAMSUN</t>
  </si>
  <si>
    <t>659054</t>
  </si>
  <si>
    <t>SOK A.S. (9767 SİNOP SEYYİD BİLAL)</t>
  </si>
  <si>
    <t>ADA MH. OKULLAR CD. NO:90/A-B ATAKUM SAMSUN</t>
  </si>
  <si>
    <t>659138</t>
  </si>
  <si>
    <t>SOK A.S. (9765 SAMSUN KARASAMSUN)</t>
  </si>
  <si>
    <t>KARASAMSUN MH. MEHMET AKİF ERSOY CD. NO:32/10 ILKADIM SAMSUN</t>
  </si>
  <si>
    <t>660610</t>
  </si>
  <si>
    <t>SOK A.S. (9833 SAMSUN ATAKUM BORNOVA CADDESİ)</t>
  </si>
  <si>
    <t>MİMARSİNAN MH. BORNOVA CD. NO:166/A ATAKUM SAMSUN</t>
  </si>
  <si>
    <t>660611</t>
  </si>
  <si>
    <t>SOK A.S. (9848 SAMSUN ATAKUM VATAN CADDESİ)</t>
  </si>
  <si>
    <t>YENİ MAHALLE MH. VATAN CD. NO:20/A ATAKUM SAMSUN</t>
  </si>
  <si>
    <t>661016</t>
  </si>
  <si>
    <t>SOK A.S. (9873 SAMSUN ATAKUM PAZARYERİ)</t>
  </si>
  <si>
    <t>CUMHURİYET MH. 37.SK. NO:3A-3B ATAKUM SAMSUN</t>
  </si>
  <si>
    <t>661435</t>
  </si>
  <si>
    <t>SOK A.S. (9919 GERZE CUMHURİYET)</t>
  </si>
  <si>
    <t>CUMHURİYET MH. SAMSUN CD. NO:50/16-17-18 GERZE SINOP</t>
  </si>
  <si>
    <t>661705</t>
  </si>
  <si>
    <t>SOK A.S. (9962 SAMSUN ATAKUM KIBRIS CADDESİ)</t>
  </si>
  <si>
    <t>YENİMAHALLE MH. KIBRIS CD. NO:7A ATAKUM SAMSUN</t>
  </si>
  <si>
    <t>662289</t>
  </si>
  <si>
    <t>SOK A.S. (7623 SAMSUN ATAKUM SONDURAK)</t>
  </si>
  <si>
    <t>KÖRFEZ MH. ATATÜRK 5. KISIM BULVARI NO:171A ATAKUM SAMSUN</t>
  </si>
  <si>
    <t>663720</t>
  </si>
  <si>
    <t>SOK A.S. (7754 SAMSUN ATAKUM AYDINLIK CADDESİ)</t>
  </si>
  <si>
    <t>YENİMAHALLE MH. AYDINLIK CD. NO:62/A-62/B ATAKUM SAMSUN</t>
  </si>
  <si>
    <t>664191</t>
  </si>
  <si>
    <t>SOK A.S. (7771 SAMSUN BAFRA ÇİLHANE)</t>
  </si>
  <si>
    <t>ÇİLHANE MH. ALİ KALE CD. NO:43/A BAFRA SAMSUN</t>
  </si>
  <si>
    <t>664193</t>
  </si>
  <si>
    <t>SOK A.S. (7766 SİNOP GERZE 19 MAYIS MAHALLESİ)</t>
  </si>
  <si>
    <t>19 MAYIS MH. DOKTOR BAHATTİN CD. NO:85/7-8 GERZE SINOP</t>
  </si>
  <si>
    <t>665344</t>
  </si>
  <si>
    <t>SOK A.S. (9829 SAMSUN İLKADIM GENÇLİK CADDESİ)</t>
  </si>
  <si>
    <t>LİMAN MH. GENÇLİK CD. NO:14/6-7 ILKADIM SAMSUN</t>
  </si>
  <si>
    <t>666251</t>
  </si>
  <si>
    <t>SOK A.S. (7812 SAMSUN BAFRA EMİREFENDİ)</t>
  </si>
  <si>
    <t>EMİREFENDİ MH. SÜLEYMAN TÜRK CD. NO:7/A-9/A BAFRA SAMSUN</t>
  </si>
  <si>
    <t>666646</t>
  </si>
  <si>
    <t>ZEYNEP KÖSE ÖZBAL MİNİ MARKET</t>
  </si>
  <si>
    <t>05457828497</t>
  </si>
  <si>
    <t>ZEYTİNLİK MAH SARI SANDAL SOK. NO:22/B MERKEZ SINOP</t>
  </si>
  <si>
    <t>666791</t>
  </si>
  <si>
    <t>UĞUR PISIL</t>
  </si>
  <si>
    <t>05331211014</t>
  </si>
  <si>
    <t>YAŞARDOĞU MAH MOTİF SOK. NO:7 ILKADIM SAMSUN</t>
  </si>
  <si>
    <t>666999</t>
  </si>
  <si>
    <t>YİĞİT MARKET SADİ ATASEVEN</t>
  </si>
  <si>
    <t>05425249881</t>
  </si>
  <si>
    <t>Altin kaya mahallesi 30 agustos sok no 17\8 BAFRA SAMSUN</t>
  </si>
  <si>
    <t>667434</t>
  </si>
  <si>
    <t>OKUDAN MARKET YUSUF OKUDAN</t>
  </si>
  <si>
    <t>05321365097</t>
  </si>
  <si>
    <t>KIRAN MH. ANKARA BULVARI NO_2 ILKADIM SAMSUN</t>
  </si>
  <si>
    <t>668053</t>
  </si>
  <si>
    <t>YONCA MARKET TARIM ÜRÜNLERİ-1- FATİH MEMİŞ</t>
  </si>
  <si>
    <t>05438821688</t>
  </si>
  <si>
    <t>ULUDAĞ MAH.ESKİ KONAK SOK. NO:29 CANIK SAMSUN</t>
  </si>
  <si>
    <t>668639</t>
  </si>
  <si>
    <t>UYKU TURİZM İNŞ.SAN.TİC.LTD.ŞTİ.</t>
  </si>
  <si>
    <t>05302268355</t>
  </si>
  <si>
    <t>GÜZELYALI MAH 22. SOK. NO:6 ATAKUM SAMSUN</t>
  </si>
  <si>
    <t>669370</t>
  </si>
  <si>
    <t>SOK A.S. (7805 ORDU ÜNYE NİKSAR CADDESİ)</t>
  </si>
  <si>
    <t>KALEDERE MH. AKKUŞ NİKSAR CD. NO:64\A ÜNYE ORDU</t>
  </si>
  <si>
    <t>669371</t>
  </si>
  <si>
    <t>SOK A.S. (7836 ORDU ÜNYE ATATÜRK MAHALLESİ)</t>
  </si>
  <si>
    <t>ATATÜRK  MH. GONCAGÜL CD. NO:12\A-B-C ÜNYE ORDU</t>
  </si>
  <si>
    <t>670457</t>
  </si>
  <si>
    <t>ÖZEL BİLGİ EĞİTİM VE ÖĞRETİM TİCARET LTD.ŞTİ</t>
  </si>
  <si>
    <t>05418869055</t>
  </si>
  <si>
    <t>OSMANBEYLI MAH. MERKEZ SOK.NO:85</t>
  </si>
  <si>
    <t>670625</t>
  </si>
  <si>
    <t>ZEREY MARKET BEKİR ZEREY</t>
  </si>
  <si>
    <t>05445356110</t>
  </si>
  <si>
    <t>HASBAHÇE MAH CEMİL ŞENSOY CAD. NO:215 ÇARSAMBA SAMSUN</t>
  </si>
  <si>
    <t>670844</t>
  </si>
  <si>
    <t>KARABIYIK TARIM ÜRÜNLERİ OĞUZHAN KARABIYIK</t>
  </si>
  <si>
    <t>05427353822</t>
  </si>
  <si>
    <t>ÇAY MAH CAMİ SOK NO:1 TERME SAMSUN</t>
  </si>
  <si>
    <t>670866</t>
  </si>
  <si>
    <t>HOŞKADEM İŞLETMELERİ TURİZM SAN. VE TİC. LTD ŞTİ</t>
  </si>
  <si>
    <t>05077622200</t>
  </si>
  <si>
    <t>KORFEZ MH OMU CAD NO:5/1 ATAKUM SAMSUN</t>
  </si>
  <si>
    <t>670896</t>
  </si>
  <si>
    <t>ALTINKUM BEYAZSARAY DÜĞÜN SALONU-HATİCE ÇELEBİ</t>
  </si>
  <si>
    <t>05438367122</t>
  </si>
  <si>
    <t>INCESU YALI MAH 6311 SK NO:3 ATAKUM SAMSUN</t>
  </si>
  <si>
    <t>670931</t>
  </si>
  <si>
    <t>OTEL 1919 ARTI 3 OTELCİLİK TURİZM İNŞ İTH İHR PAZ SAN VE TİC LTD ŞTİ</t>
  </si>
  <si>
    <t>03624575119</t>
  </si>
  <si>
    <t>KORFEZ MH ATATURK 5. KISIM BULV.NO:83/A ATAKUM SAMSUN</t>
  </si>
  <si>
    <t>671705</t>
  </si>
  <si>
    <t>ADNAN MENDERES PARKI TUNAY AY</t>
  </si>
  <si>
    <t>05355749466</t>
  </si>
  <si>
    <t>ISHAKLI MAH ADNAN MENDERES PARKI BAFRA</t>
  </si>
  <si>
    <t>671708</t>
  </si>
  <si>
    <t>YILMAZ KÜÇÜK HANİFE ALTAY ORTAKLIĞI SİNOP LOVE DÜĞÜN SALONU</t>
  </si>
  <si>
    <t>05337276813</t>
  </si>
  <si>
    <t>ZEYTİNLİK MAH YAKAMOZ SOK NO:69 MERKEZ SINOP</t>
  </si>
  <si>
    <t>672704</t>
  </si>
  <si>
    <t>İHSAN CÖMERT BAKKAL</t>
  </si>
  <si>
    <t>05466393555</t>
  </si>
  <si>
    <t>DURUSU KOYU</t>
  </si>
  <si>
    <t>673196</t>
  </si>
  <si>
    <t>MIGROS TiC. A.S. (5762 YENİMAHALLE SAMSUN MM MİGROS)</t>
  </si>
  <si>
    <t>YENİMAHALLE MH. ATAKENT BULVARI NO:12/D ATAKUM SAMSUN</t>
  </si>
  <si>
    <t>673240</t>
  </si>
  <si>
    <t>UĞUR ENGİN</t>
  </si>
  <si>
    <t>05301195832</t>
  </si>
  <si>
    <t>ORTA YILMAZLAR MAH MERKEZ SOK NO:1 ÜNYE ORDU</t>
  </si>
  <si>
    <t>673440</t>
  </si>
  <si>
    <t>TAŞOĞLU GIDA BASRİ TAŞOĞLU</t>
  </si>
  <si>
    <t>05446410371</t>
  </si>
  <si>
    <t>SEYHABIL KOYU</t>
  </si>
  <si>
    <t>673964</t>
  </si>
  <si>
    <t>UGUR BAKKALIYE MİTHAT CAN BEKTAŞ</t>
  </si>
  <si>
    <t>05359377643</t>
  </si>
  <si>
    <t>KARABURC KOYU BAFRA SAMSUN</t>
  </si>
  <si>
    <t>674998</t>
  </si>
  <si>
    <t>KALE MARKET SEMT MAĞAZACILIĞI(ÇAKIR TEPE ŞUBESİ)</t>
  </si>
  <si>
    <t>ATATURK MH CAMBASI CD UNYE ORDU</t>
  </si>
  <si>
    <t>676565</t>
  </si>
  <si>
    <t>DUR-AL MARKET ABDURRAHMAN TURAL</t>
  </si>
  <si>
    <t>05433171988</t>
  </si>
  <si>
    <t>BELEDIYE EVLERI MH MELIH SAH SOK NO:52 CANIK SAMSUN</t>
  </si>
  <si>
    <t>677765</t>
  </si>
  <si>
    <t>SOK A.S. (1042 SAMSUN MUHTEŞEM SÜLEYMAN)</t>
  </si>
  <si>
    <t>ADALET MH. ŞEHİT PİYADE UZMAN ÇAVUŞ ADEM ŞENGÜL CD. NO:1 ILKADIM SAMSUN</t>
  </si>
  <si>
    <t>678672</t>
  </si>
  <si>
    <t>SOK A.S. (1063 SAMSUN ATAKUM İZMİR CADDESİ)</t>
  </si>
  <si>
    <t>YENİMAHALLE MH. İZMİR CD. NO:19/A-B ATAKUM SAMSUN</t>
  </si>
  <si>
    <t>679648</t>
  </si>
  <si>
    <t>HATİCE SEVGÜLÜ RÜSTEM MARKET</t>
  </si>
  <si>
    <t>05523155755</t>
  </si>
  <si>
    <t>BELEDİYE EVLERİ MAH CENGİZ TOPEL CAD. NO:57 CANIK SAMSUN</t>
  </si>
  <si>
    <t>679843</t>
  </si>
  <si>
    <t>SEYHAN BAKKAL-ADEM SEYHAN</t>
  </si>
  <si>
    <t>05359210241</t>
  </si>
  <si>
    <t>OYMAAĞAÇ MAH. VEZIRKÖPRÜ SAMSUN</t>
  </si>
  <si>
    <t>680344</t>
  </si>
  <si>
    <t>BULUTAY OTOMOTIV TEMIZLIK GIDA INS TIC LTD STI</t>
  </si>
  <si>
    <t>05550092855</t>
  </si>
  <si>
    <t>KADİFEKALE MAH KADİFE SOK. NO:14 ILKADIM SAMSUN</t>
  </si>
  <si>
    <t>681298</t>
  </si>
  <si>
    <t>MEHMET ŞAHİN ŞAHİN MARKET</t>
  </si>
  <si>
    <t>05348538752</t>
  </si>
  <si>
    <t>YENİ MAH SANAYİ CAMİ YANİ NO:1 VEZIRKÖPRÜ SAMSUN</t>
  </si>
  <si>
    <t>681379</t>
  </si>
  <si>
    <t>EROL DEMİR BAKKAL</t>
  </si>
  <si>
    <t>05318957041</t>
  </si>
  <si>
    <t>ÇARSAMBA SAMSUN</t>
  </si>
  <si>
    <t>684255</t>
  </si>
  <si>
    <t>DİYARBAKIR SOFRASI KEBAP LOKANTACILIK SAN TİC LTD ŞTİ</t>
  </si>
  <si>
    <t>05536667474</t>
  </si>
  <si>
    <t>MEVLANA MAH ABDULLAH GÜL BLV. NO:61/A ATAKUM SAMSUN</t>
  </si>
  <si>
    <t>686040</t>
  </si>
  <si>
    <t>SOK A.S. (1467 SAMSUN CANİK ALTINTEPE)</t>
  </si>
  <si>
    <t>HASKÖY MH. ALTINTEPE SK. NO:1/1 CANIK SAMSUN</t>
  </si>
  <si>
    <t>686136</t>
  </si>
  <si>
    <t>SOK A.S. (1468 VEZİRKÖPRÜ TAŞKALE)</t>
  </si>
  <si>
    <t>TAŞKALE MH. KÖPRÜLÜLER CD. NO:182/Z01-Z02-Z03 VEZIRKÖPRÜ SAMSUN</t>
  </si>
  <si>
    <t>686213</t>
  </si>
  <si>
    <t>KARTAL BAKKALİYESİ HATİCE KARTAL</t>
  </si>
  <si>
    <t>05442223456</t>
  </si>
  <si>
    <t>BORUK KÖYÜ</t>
  </si>
  <si>
    <t>686302</t>
  </si>
  <si>
    <t>ÇUBUKÇU BAKKALİYESİ-ŞENOL ÇUBUKCU</t>
  </si>
  <si>
    <t>05355400655</t>
  </si>
  <si>
    <t>ALIBEYLI MAH ÇARSAMBA SAMSUN</t>
  </si>
  <si>
    <t>686396</t>
  </si>
  <si>
    <t>SOK A.S. (1489 SAMSUN TEKKEKÖY KURTULUŞ)</t>
  </si>
  <si>
    <t>KURTULUŞ MH. ŞEYH ZEYNETTİN CD. NO:30A TEKKEKÖY SAMSUN</t>
  </si>
  <si>
    <t>686915</t>
  </si>
  <si>
    <t>ŞABAN CENGİZ</t>
  </si>
  <si>
    <t>05436816760</t>
  </si>
  <si>
    <t>RASATHANE MA HALLESI BILGINLER SK. NO_37 ILKADIM SAMSUN</t>
  </si>
  <si>
    <t>687236</t>
  </si>
  <si>
    <t>SOK A.S. (1577 GAZİ PAŞA SAMSUN BAFRA)</t>
  </si>
  <si>
    <t>GAZİ PAŞA MH. LİSE CD. NO:27/29 BAFRA SAMSUN</t>
  </si>
  <si>
    <t>687271</t>
  </si>
  <si>
    <t>SİREM MARKET MEHMET KILIÇ</t>
  </si>
  <si>
    <t>05421252523</t>
  </si>
  <si>
    <t>CATALARMUT MH 30 AGUSTOS CD</t>
  </si>
  <si>
    <t>687287</t>
  </si>
  <si>
    <t>SAKLIBAHÇE DÜĞÜN SALONU SÜLEYMAN DURMUŞ</t>
  </si>
  <si>
    <t>05395702098</t>
  </si>
  <si>
    <t>BAHÇELER MH. ACAR SK. NO:15 BAFRA SAMSUN</t>
  </si>
  <si>
    <t>687309</t>
  </si>
  <si>
    <t>KONAKS OTELATAKUM</t>
  </si>
  <si>
    <t>05444354630</t>
  </si>
  <si>
    <t>YENİ MAHALLE 3070.SK. NO:36-38   ATAKUM SAMSUN</t>
  </si>
  <si>
    <t>687873</t>
  </si>
  <si>
    <t>SOK A.S. (1618 SAMSUN İLKADIM YILDIRAY ÇINAR BULVARI)</t>
  </si>
  <si>
    <t>KARASAMSUN MH. YILDIRAY ÇINAR CD. NO:82/29 ILKADIM SAMSUN</t>
  </si>
  <si>
    <t>688241</t>
  </si>
  <si>
    <t>BATIPARK KARADENİZ BALIK RESTURANT İNŞ. TURİZM SAN TİC LTD STİ</t>
  </si>
  <si>
    <t>05434451313</t>
  </si>
  <si>
    <t>BARUTHANE MAH. ATATURK BULVARI NO:67/1 ILKADIM SAMSUN</t>
  </si>
  <si>
    <t>688387</t>
  </si>
  <si>
    <t>SOK A.S. (1675 SAMSUN ATAKUM ALİ GAFFAR OKKAN CADDESİ)</t>
  </si>
  <si>
    <t>YENİ MH. ALİ GAFFAR OKKAN CD. NO:92/BA  ATAKUM SAMSUN</t>
  </si>
  <si>
    <t>688704</t>
  </si>
  <si>
    <t>ÖNDER TİCARET CEMAL PAMUK</t>
  </si>
  <si>
    <t>03627713604</t>
  </si>
  <si>
    <t>BAHSI MAH SAMSUN CAD NO:50 LADIK SAMSUN</t>
  </si>
  <si>
    <t>689311</t>
  </si>
  <si>
    <t>KAVAK İMAR TURİZM SAN VE TİC LTD ŞTİ.(TİRİT EVİ)</t>
  </si>
  <si>
    <t>05434692931</t>
  </si>
  <si>
    <t>YAŞARDOĞU MH.101.SK NO:15 KAVAK SAMSUN KAVAK SAMSUN</t>
  </si>
  <si>
    <t>689539</t>
  </si>
  <si>
    <t>SOK A.S. (1761 TEKKEKÖY ÇAY MAHALLESİ)</t>
  </si>
  <si>
    <t>ÇAY MH. ŞEYH ZEYNETTİN CD. NO:152/B TEKKEKÖY SAMSUN</t>
  </si>
  <si>
    <t>689920</t>
  </si>
  <si>
    <t>KALE MARKET-ÇINARLIK ŞB.</t>
  </si>
  <si>
    <t>KALE MARKET-ÇINARLIK ŞB. ÜNYE ORDU</t>
  </si>
  <si>
    <t>689929</t>
  </si>
  <si>
    <t>KALE MARKET-LİSELER ŞB.</t>
  </si>
  <si>
    <t>0452 324 34 19</t>
  </si>
  <si>
    <t>KALE MARKET-LİSELER ŞB. ÜNYE ORDU</t>
  </si>
  <si>
    <t>690393</t>
  </si>
  <si>
    <t>SOK A.S. (1949 SAMSUN İLKADIM ŞEHİT TUNCAY KARATAŞ BULVARI)</t>
  </si>
  <si>
    <t>KIŞLA MH. ŞEHİT TUNCAY KARATAŞ BLV. NO:27/1 ILKADIM SAMSUN</t>
  </si>
  <si>
    <t>690394</t>
  </si>
  <si>
    <t>SOK A.S. (1968 SAMSUN İLKADIM KARASAMSUN MEHTAP CADDESİ)</t>
  </si>
  <si>
    <t>KARASAMSUN MH. MEHTAP CD. NO:113/19 ILKADIM SAMSUN</t>
  </si>
  <si>
    <t>690864</t>
  </si>
  <si>
    <t>ŞEN MARKET SELİM ŞAHİN</t>
  </si>
  <si>
    <t>05375201179</t>
  </si>
  <si>
    <t>CATALARMUT MH. 185. SK. NO_2 ILKADIM SAMSUN</t>
  </si>
  <si>
    <t>691619</t>
  </si>
  <si>
    <t>SOK A.S. (1388 SAMSUN ATAKUM ÇAKIRLAR YALI)</t>
  </si>
  <si>
    <t>ÇAKIRLAR YALI MH. ATATÜRK 6.KISIM BLV. NO:412/A-B-C ATAKUM SAMSUN</t>
  </si>
  <si>
    <t>691620</t>
  </si>
  <si>
    <t>SOK A.S. (1387 SAMSUN ATAKUM ALPARSLAN BULVARI)</t>
  </si>
  <si>
    <t>MEVLANA MH. ALPARSLAN BLV. NO:67/BB   ATAKUM SAMSUN</t>
  </si>
  <si>
    <t>692624</t>
  </si>
  <si>
    <t>SOK A.S. (2038 SAMSUN ATAKUM GÖKDELEN KULE)</t>
  </si>
  <si>
    <t>BÜYÜKKOLPINAR MH. ALAÇAM CD. NO:163/A ATAKUM SAMSUN</t>
  </si>
  <si>
    <t>693340</t>
  </si>
  <si>
    <t>SOK A.S. (2350 SAMSUN ATAKUM ATATEPE)</t>
  </si>
  <si>
    <t>ATATEPE MH. TOKİ YOLU CD. NO:2/A ATAKUM SAMSUN</t>
  </si>
  <si>
    <t>693341</t>
  </si>
  <si>
    <t>SOK A.S. (2351 ATAKUM 889. SOKAK)</t>
  </si>
  <si>
    <t>İSTİKLAL MH. 889. SK. NO:10/A-B ATAKUM SAMSUN</t>
  </si>
  <si>
    <t>693342</t>
  </si>
  <si>
    <t>SOK A.S. (2426 SAMSUN ATAKUM TÜRKİŞ)</t>
  </si>
  <si>
    <t>MİMARSİNAN MH. İSMET İNÖNÜ BLV. NO:206/A-B-C-D ATAKUM SAMSUN</t>
  </si>
  <si>
    <t>694692</t>
  </si>
  <si>
    <t>ŞENKUL MARKET-ALİ ŞENKUL</t>
  </si>
  <si>
    <t>05353124674</t>
  </si>
  <si>
    <t>ALTINKAYA MAH ALICETIN KAYA SOK NO:31 BAFRA SAMSUN</t>
  </si>
  <si>
    <t>694807</t>
  </si>
  <si>
    <t>ŞAHİN MARKET MURAT ŞAHİN</t>
  </si>
  <si>
    <t>05422014605</t>
  </si>
  <si>
    <t>ANADOLU MH..PILOT SK. NO\23 ILKADIM SAMSUN</t>
  </si>
  <si>
    <t>694864</t>
  </si>
  <si>
    <t>SOK A.S. (2427 SAMSUN AZİZ IŞIK BULVARI)</t>
  </si>
  <si>
    <t>KÖRFEZ MH. AZİZ IŞIK BULVARI NO:36A ATAKUM SAMSUN</t>
  </si>
  <si>
    <t>695364</t>
  </si>
  <si>
    <t>SOK A.S. (1637 SAMSUN İLKADIM KALKANCI)</t>
  </si>
  <si>
    <t>KALKANCI MH. 105.SK. NO:2-A/1-3 ILKADIM SAMSUN</t>
  </si>
  <si>
    <t>695477</t>
  </si>
  <si>
    <t>MEHMET ÇOBAN BAKKAL-BAYİ</t>
  </si>
  <si>
    <t>05366322467</t>
  </si>
  <si>
    <t>DEVECİK BELDESİ İKİZCE/ORDU</t>
  </si>
  <si>
    <t>696691</t>
  </si>
  <si>
    <t>NECLA DEMİRDAŞ_TEKKEKÖY</t>
  </si>
  <si>
    <t>05352927179</t>
  </si>
  <si>
    <t>KAHYALI MH.</t>
  </si>
  <si>
    <t>696901</t>
  </si>
  <si>
    <t>DİLEK MARKET-AYNUR DİLEK</t>
  </si>
  <si>
    <t>05352843905</t>
  </si>
  <si>
    <t>YESILDERE MAH SEHIT ALAADIN PERGEL CAD NO:13/A ATAKUM SAMSUN</t>
  </si>
  <si>
    <t>697074</t>
  </si>
  <si>
    <t>ERİŞGİNLER SÜPER MARKET REŞİT ERİŞGİN</t>
  </si>
  <si>
    <t>05072023815</t>
  </si>
  <si>
    <t>KADIKOY MH 1796 SK NO:2\A İLKADIM SAMSUN</t>
  </si>
  <si>
    <t>699601</t>
  </si>
  <si>
    <t>DURMUŞ YILMAZ YILMAZ MARKET</t>
  </si>
  <si>
    <t>05365444198</t>
  </si>
  <si>
    <t>İSHAKLI MAH MOLLA OSMAN SOK. NO:23/A BAFRA SAMSUN</t>
  </si>
  <si>
    <t>706955</t>
  </si>
  <si>
    <t>ALAÇAM ÖĞRETMENEVİ VE A.S.O.MÜD.</t>
  </si>
  <si>
    <t>05342330000</t>
  </si>
  <si>
    <t>FATIH MH. GEYIK KOSAN CAD NO:185 ALACAM SAMSUN ALAÇAM SAMSUN</t>
  </si>
  <si>
    <t>707662</t>
  </si>
  <si>
    <t>BTT FRC 5192 TEKKEKÖY SAMSUN (SEÇ)</t>
  </si>
  <si>
    <t>UZ 100-400m2 arası</t>
  </si>
  <si>
    <t>19 MAYIS MH. 645. CD NO:12/1 TEKKEKÖY SAMSUN</t>
  </si>
  <si>
    <t>708097</t>
  </si>
  <si>
    <t>TEKER BAKKAL MUHİFE TEKER</t>
  </si>
  <si>
    <t>05469182391</t>
  </si>
  <si>
    <t>KOVALI KOYU VEZIRKOPRU SAMSUN VEZIRKÖPRÜ SAMSUN</t>
  </si>
  <si>
    <t>709035</t>
  </si>
  <si>
    <t>BTT FRC 4967 SALIPAZARI SAMSUN AHMET BEKTÜRK (SEÇ)</t>
  </si>
  <si>
    <t>BEREKET MH. ÇARŞAMBA CD. NO:9 SALIPAZARI SAMSUN</t>
  </si>
  <si>
    <t>709718</t>
  </si>
  <si>
    <t>SEMİZ GIDA MARKET</t>
  </si>
  <si>
    <t>05378208913</t>
  </si>
  <si>
    <t>TERME SOGUTLU MAH TERME SAMSUN</t>
  </si>
  <si>
    <t>710788</t>
  </si>
  <si>
    <t>CANDAL BİNİCİLİK TURİZM İNŞ.SAN VE TİC.LDT.ŞTİ.</t>
  </si>
  <si>
    <t>05462875500</t>
  </si>
  <si>
    <t>KÖPRÜBAŞI MH. SELANİK SK.NO:200 TEKKEKÖY SAMSUN TEKKEKÖY SAMSUN</t>
  </si>
  <si>
    <t>711191</t>
  </si>
  <si>
    <t>ALYANS DÜĞÜN SALONU MUSTAFA DARIOĞLU</t>
  </si>
  <si>
    <t>05446778725</t>
  </si>
  <si>
    <t>LİSELER MH. NO:123 ÜNYE ORDU ÜNYE ORDU</t>
  </si>
  <si>
    <t>712498</t>
  </si>
  <si>
    <t>YILDIZLAR GARDEN</t>
  </si>
  <si>
    <t>05436124344</t>
  </si>
  <si>
    <t>LİMAN MH. ATATÜRK BL. NO:281 YAKAKENT SAMSUN YAKAKENT SAMSUN</t>
  </si>
  <si>
    <t>712799</t>
  </si>
  <si>
    <t>FAVORİ KONSEPT ORGANİZASYON GIDA TEK.TUR.İNŞ.SAN.VE.TİC.LTD.ŞTİ</t>
  </si>
  <si>
    <t>05321578826</t>
  </si>
  <si>
    <t>CUMHURIYET MH CUMHURIYET CD NO39 BAFRA SAMSUN BAFRA SAMSUN</t>
  </si>
  <si>
    <t>713421</t>
  </si>
  <si>
    <t>ENGİZ MARKET HASAN TUNA</t>
  </si>
  <si>
    <t>05438707552</t>
  </si>
  <si>
    <t>ENGİZ MH. DOĞUŞ CD.NO:63/A 19 MAYIS SAMSUN 19MAYIS SAMSUN</t>
  </si>
  <si>
    <t>714140</t>
  </si>
  <si>
    <t>AYIŞIĞI DÜĞÜN SALONU GÖKHAN AKTÜRK</t>
  </si>
  <si>
    <t>05426139834</t>
  </si>
  <si>
    <t>BAHÇELER MAH.AVAR SOK.NO:13/1 BAFRA SAMSUN BAFRA SAMSUN</t>
  </si>
  <si>
    <t>714714</t>
  </si>
  <si>
    <t>DENİZ MARKET_VOLKAN DENİZ</t>
  </si>
  <si>
    <t>03624655971</t>
  </si>
  <si>
    <t>FEVZİ ÇAKMAK MH.FIRAT SOK NO:2/A BAFRA BAFRA SAMSUN</t>
  </si>
  <si>
    <t>714802</t>
  </si>
  <si>
    <t>SOK A.S. (1650 ATAKUM ABDULLAH GÜL BULVARI)</t>
  </si>
  <si>
    <t>CUMHURİYET MH.,ABDULLAH GÜL BULVARI,NO:188B-188C ATAKUM SAMSUN</t>
  </si>
  <si>
    <t>714804</t>
  </si>
  <si>
    <t>SOK A.S. (6032 SAMSUN CANİK ULUDAĞ)</t>
  </si>
  <si>
    <t>ULUDAĞ MAH.ESKİ KONAK SOK.NO:1  CANIK SAMSUN</t>
  </si>
  <si>
    <t>714931</t>
  </si>
  <si>
    <t>SOK A.S. (6041 SİNOP KEFEVİ)</t>
  </si>
  <si>
    <t>KEFEVİ MH. OKULLAR CD. NO:8/A-8/B SINOP(MERKEZ) SINOP</t>
  </si>
  <si>
    <t>715123</t>
  </si>
  <si>
    <t>SOK A.S. (3043 SAMSUN BAFRA BAKIRPINAR)</t>
  </si>
  <si>
    <t>MEVLANA MH.YUKARI BAKIRPINAR SOK BAFRA HILAL INSAAT SITESI B BLOK NO:59/A59/B BAFRA SAMSUN</t>
  </si>
  <si>
    <t>716303</t>
  </si>
  <si>
    <t>SOK A.S. (3231 ÜNYE GÖLEVİ)</t>
  </si>
  <si>
    <t>GÖLEVİ MH. TOKİ SK. NO:9D ÜNYE ORDU</t>
  </si>
  <si>
    <t>717542</t>
  </si>
  <si>
    <t>MIGROS TiC. A.S. (6350 SAMSUN CITY MALL AVM SAMSUN MM)</t>
  </si>
  <si>
    <t>MİMAR SİNAN MAH.ALPARSLAN BULV.NO:1 ATAKUM SAMSUN</t>
  </si>
  <si>
    <t>718231</t>
  </si>
  <si>
    <t>HİLAL MARKET-BAYRAM KAYAOĞLU</t>
  </si>
  <si>
    <t>05301138950</t>
  </si>
  <si>
    <t>HASTANE MAH.TOPAL OSMAN SOK.NO:43 ILKADIM SAMSUN</t>
  </si>
  <si>
    <t>719523</t>
  </si>
  <si>
    <t>KÖŞEM MARKET CEVDET TÜRKYILMAZ</t>
  </si>
  <si>
    <t>05366168809</t>
  </si>
  <si>
    <t>SAİTBEY MAH.KULACA CAD.NO:33 ILKADIM SAMSUN</t>
  </si>
  <si>
    <t>720026</t>
  </si>
  <si>
    <t>İFA MARKETÇİLİK TİC.LTD.ŞTİ.-KEFEVİ ŞB</t>
  </si>
  <si>
    <t>05442658772</t>
  </si>
  <si>
    <t>KEFEVİ MAH.DERVİŞ SARABİL CAD.NO:3/A SINOP(MERKEZ) SINOP</t>
  </si>
  <si>
    <t>720028</t>
  </si>
  <si>
    <t>İFA MARKETÇİLİK TİC.LTD.ŞTİ.</t>
  </si>
  <si>
    <t>720541</t>
  </si>
  <si>
    <t>AKGÜL MARKET-İSMAİL AKGÜL</t>
  </si>
  <si>
    <t>05379467255</t>
  </si>
  <si>
    <t>GAZİOSMANPAŞA MAH.GÖKÇEKAYA SOK.NO:4 CANIK SAMSUN</t>
  </si>
  <si>
    <t>720552</t>
  </si>
  <si>
    <t>İBRAHİM MISIRCI MISIRCI YAPI İNŞAAT HAFRİYAT</t>
  </si>
  <si>
    <t>05365880552</t>
  </si>
  <si>
    <t>GAZİOSMANPAŞA MAH.AYDINOĞULLARI SOK.NO:76 CANIK SAMSUN</t>
  </si>
  <si>
    <t>720673</t>
  </si>
  <si>
    <t>PINAR GIDA-NECATİ ERİŞTİ</t>
  </si>
  <si>
    <t>05422521013</t>
  </si>
  <si>
    <t>DEREBAHÇE MAH.NURİ CERİT SOK.NO:12 ILKADIM SAMSUN</t>
  </si>
  <si>
    <t>720818</t>
  </si>
  <si>
    <t>BİRLİK MARKET-ERDOĞAN GÜVEN</t>
  </si>
  <si>
    <t>05417413163</t>
  </si>
  <si>
    <t>19 MAYIS MAH.ŞEHİT NURETTİN CİNSOY CAD.NO:16 KAVAK SAMSUN</t>
  </si>
  <si>
    <t>722137</t>
  </si>
  <si>
    <t>ÇEMEN BÜFE - KENAN YILMAZ</t>
  </si>
  <si>
    <t>05462081850</t>
  </si>
  <si>
    <t>SARICALI MAH.PARK CAD.NO:19 ÇARSAMBA SAMSUN</t>
  </si>
  <si>
    <t>722401</t>
  </si>
  <si>
    <t>SOK A.S. (3482 SAMSUN İLKADIM IHLAMUR BULVARI)</t>
  </si>
  <si>
    <t>KALKANCI MH. IHLAMUR BULVARI ILKADIM SAMSUN</t>
  </si>
  <si>
    <t>722952</t>
  </si>
  <si>
    <t>SERKAN MİNİ MARKET-SERKAN ÇORUHLU</t>
  </si>
  <si>
    <t>05446659990</t>
  </si>
  <si>
    <t>FEVZİ ÇAKMAK MAH.  ILKADIM SAMSUN</t>
  </si>
  <si>
    <t>723001</t>
  </si>
  <si>
    <t>ŞİMŞEK MARKET-KEZBAN ŞİMŞEK</t>
  </si>
  <si>
    <t>05366844182</t>
  </si>
  <si>
    <t>TEPEKÖY MAH. 19MAYIS SAMSUN</t>
  </si>
  <si>
    <t>723397</t>
  </si>
  <si>
    <t>SOK A.S. (3484 SİNOP STAD YOLU)</t>
  </si>
  <si>
    <t>GELİNCİK MAH.STAD YOLU CAD.NO:64A-64B SINOP(MERKEZ) SINOP</t>
  </si>
  <si>
    <t>724382</t>
  </si>
  <si>
    <t>KUTLUKENT BAKKALİYESİ-HASAN TUAY</t>
  </si>
  <si>
    <t>05433066462</t>
  </si>
  <si>
    <t>KUTLUKENT MAH.YILDIRIM BEYAZIT CAD.NO:112 TEKKEKÖY SAMSUN</t>
  </si>
  <si>
    <t>726388</t>
  </si>
  <si>
    <t>HALİL İYİSAN ANADOLU İMAMHATİP LİSESİ KOOPERATİF KULÜBÜ</t>
  </si>
  <si>
    <t>05056177361</t>
  </si>
  <si>
    <t>HALİL İYİSAN ANADOLU İMAH.LİSESİ ASARCIK SAMSUN</t>
  </si>
  <si>
    <t>727425</t>
  </si>
  <si>
    <t>NURTEN ZENGİN TEKMAR MARKET</t>
  </si>
  <si>
    <t>05054438784</t>
  </si>
  <si>
    <t>KİRAZLIKÇAY MAH HASANLI CAD. NO:37-45/A-E ÇARSAMBA SAMSUN</t>
  </si>
  <si>
    <t>728742</t>
  </si>
  <si>
    <t>EGEM MARKET-İSMET CAN KOR</t>
  </si>
  <si>
    <t>05457494900</t>
  </si>
  <si>
    <t>ALLI MH. ARIM SOK.NO:21/A ÇARSAMBA SAMSUN</t>
  </si>
  <si>
    <t>729194</t>
  </si>
  <si>
    <t>TOKMAK TİCARET-EMRE TOKMAK</t>
  </si>
  <si>
    <t>05368878536</t>
  </si>
  <si>
    <t>HÜRRİYET MAH 149 c ÇARSAMBA SAMSUN</t>
  </si>
  <si>
    <t>729683</t>
  </si>
  <si>
    <t>BIM A.S. (Q341 FATİH / BAFRA)</t>
  </si>
  <si>
    <t>731758</t>
  </si>
  <si>
    <t>SOK A.S. (3851 SAMSUN BEYKOZ)</t>
  </si>
  <si>
    <t>KIŞLA MH.,959.SK.,NO:8/11-12 ILKADIM SAMSUN</t>
  </si>
  <si>
    <t>733297</t>
  </si>
  <si>
    <t>SOK A.S. (3902 SAMSUN TERME)</t>
  </si>
  <si>
    <t>ÇAY MH.,ÜNYE CD.,NO:18/9-10-11-12-13-14 TERME SAMSUN</t>
  </si>
  <si>
    <t>733298</t>
  </si>
  <si>
    <t>SOK A.S. (3903 İLKADIM ÇATALARMUT)</t>
  </si>
  <si>
    <t>ÇATALARMUT MAH 30 AGUSTOS CAD.NO:229 ILKADIM SAMSUN</t>
  </si>
  <si>
    <t>733299</t>
  </si>
  <si>
    <t>SOK A.S. (3907 SİNOP GELİNCİK YOLU)</t>
  </si>
  <si>
    <t>GELİNCİK MAH.GELİNCİK YOLU CAD. NO:39A-41A  SINOP(MERKEZ) SINOP</t>
  </si>
  <si>
    <t>735611</t>
  </si>
  <si>
    <t>ÇARŞIMAR-MUSTAFA ÖZYURT VE ORT.</t>
  </si>
  <si>
    <t>SUNGURLU MAH.İHSAN TÜRKÖZ CAD.NO:5 ÇARSAMBA SAMSUN</t>
  </si>
  <si>
    <t>735854</t>
  </si>
  <si>
    <t>MUSTAFA ÖZ BAKKAL</t>
  </si>
  <si>
    <t>05323363691</t>
  </si>
  <si>
    <t>DEDEDAĞI MAH.İSA KURT SK. NO:19 BAFRA BAFRA SAMSUN</t>
  </si>
  <si>
    <t>736349</t>
  </si>
  <si>
    <t>HAKAN PETROL ÜR.SAN.TİC.LTD.ŞTİ.</t>
  </si>
  <si>
    <t>03624655268</t>
  </si>
  <si>
    <t>TOYBELEN MAH.ANADOLU BULV.NO:136 İLKADIM ILKADIM SAMSUN</t>
  </si>
  <si>
    <t>736490</t>
  </si>
  <si>
    <t>AHMET KAPLANSOY</t>
  </si>
  <si>
    <t>05438779872</t>
  </si>
  <si>
    <t>YAĞINÖZÜ KÖYÜ VEZIRKÖPRÜ SAMSUN</t>
  </si>
  <si>
    <t>736725</t>
  </si>
  <si>
    <t>SOK A.S. (3989 MEHMETÇİK GERZE SİNOP)</t>
  </si>
  <si>
    <t>HAMİDİYE MAH.MEHMETÇİK CAD.NO:6A-6B  GERZE SINOP</t>
  </si>
  <si>
    <t>736927</t>
  </si>
  <si>
    <t>SOK A.S. (3997 SAMSUN ÇATALÇAM)</t>
  </si>
  <si>
    <t>GÜZELYURT MH.,ATATÜRK 7.KISIM BULVARI,NO:93 ATAKUM SAMSUN</t>
  </si>
  <si>
    <t>737551</t>
  </si>
  <si>
    <t>SOK A.S. (10003 SİNOP ERFELEK MERKEZ)</t>
  </si>
  <si>
    <t>MERKEZ MH.,ESAT TÜRKMEN CD. NO:22  ERFELEK SINOP</t>
  </si>
  <si>
    <t>737922</t>
  </si>
  <si>
    <t>SOK A.S. (10016 SAMSUN ÇARŞAMBA SUNGURLU CADDESİ)</t>
  </si>
  <si>
    <t>YEŞİLIRMAK MH.,SUNGURLU CD.,NO:54A-54B ÇARSAMBA SAMSUN</t>
  </si>
  <si>
    <t>738925</t>
  </si>
  <si>
    <t>TURNAGAZ LPG OTOGAZ SATIŞ İSTASYONU İSMET KOÇBIYIK</t>
  </si>
  <si>
    <t>ATATÜRK BUL. 19 MAYIS SAMSUN 19MAYIS SAMSUN</t>
  </si>
  <si>
    <t>739533</t>
  </si>
  <si>
    <t>AKÇAAĞAÇ KORU TURİZM LTD.ŞTİ.</t>
  </si>
  <si>
    <t>05452918117</t>
  </si>
  <si>
    <t>ORDU MAH. AKÇAAÇ KÜME EVLERİ NO:22 SINOP(MERKEZ) SINOP</t>
  </si>
  <si>
    <t>740525</t>
  </si>
  <si>
    <t>ÇAÇA SPOR VE EĞLENCE MERKEZİ-ÇAĞRI TOMAÇ</t>
  </si>
  <si>
    <t>05324542101</t>
  </si>
  <si>
    <t>ÇETİNKAYA MH. KÖPRÜBAŞI MEVKİİ BAFRA SAMSUN BAFRA SAMSUN</t>
  </si>
  <si>
    <t>741311</t>
  </si>
  <si>
    <t>ORFA MÜHENDİSLİK NAK.TURZ.SAN.TİC.LTD.ŞTİ</t>
  </si>
  <si>
    <t>05309308578</t>
  </si>
  <si>
    <t>ALPARSLAN MAH. KIZILIRMAK SAN.SİT.NO:5/B BAFRA SAMSUN</t>
  </si>
  <si>
    <t>741312</t>
  </si>
  <si>
    <t>FATMA YİĞİT BOSTAN (OSMANLI BAHÇESİ DAVET TOP.SALONU)</t>
  </si>
  <si>
    <t>05055414766</t>
  </si>
  <si>
    <t>AKTEKKE MAH.İHSANİYE SOK.NO:75-1 BAFRA SAMSUN</t>
  </si>
  <si>
    <t>741492</t>
  </si>
  <si>
    <t>TORUN MARKET ARZU TORUN</t>
  </si>
  <si>
    <t>05315053073</t>
  </si>
  <si>
    <t>KARŞIYAKA MH. AKKONAK SK.ÖZKAN APT. CANİK SAMSUN CANIK SAMSUN</t>
  </si>
  <si>
    <t>742068</t>
  </si>
  <si>
    <t>SAMSUN CNK KÜLTÜR İNŞ.TİCARET LTD.ŞTİ (KÜLTÜR MRKZ.)</t>
  </si>
  <si>
    <t>5469117838</t>
  </si>
  <si>
    <t>KARŞIYAKA MAH İLKBAHAR SOK. NO:1/1 CANIK SAMSUN</t>
  </si>
  <si>
    <t>742560</t>
  </si>
  <si>
    <t>SAMSUN CNK KÜLTÜR İNŞ TİCARET LTD.ŞTİ (MEŞE TES.)</t>
  </si>
  <si>
    <t>05469117838</t>
  </si>
  <si>
    <t>KARŞIYAKA MAH. İLKBAHAR SOK.NO:1 CANIK SAMSUN</t>
  </si>
  <si>
    <t>743009</t>
  </si>
  <si>
    <t>SOK A.S. (10173 ORDU ÜNYE DEVLET HASTANESİ)</t>
  </si>
  <si>
    <t>YÜCELER MH. KAYALAR SK. NO:21/3B-3C  ÜNYE ORDU</t>
  </si>
  <si>
    <t>743114</t>
  </si>
  <si>
    <t>EROLLAR UN YEMEK OTOMOTİV NAKL.TİC.LTD.ŞTİ</t>
  </si>
  <si>
    <t>05467803155</t>
  </si>
  <si>
    <t>BAHÇELER MAH. ALTINKAYA CAD.NO:93 BAFRA SAMSUN</t>
  </si>
  <si>
    <t>744238</t>
  </si>
  <si>
    <t>SOK A.S. (10191 SAMSUN İLYASKÖY)</t>
  </si>
  <si>
    <t>İLYASKÖY MH. YENİCE SK. NO:.1  ILKADIM SAMSUN</t>
  </si>
  <si>
    <t>744650</t>
  </si>
  <si>
    <t>UMUT MARKET-ERSİN DELİBAŞ</t>
  </si>
  <si>
    <t>05308707500</t>
  </si>
  <si>
    <t>İCADİYE MAH.Ş.HASAN AKTAR CAD.NO:59-1 HAVZA SAMSUN</t>
  </si>
  <si>
    <t>744789</t>
  </si>
  <si>
    <t>SOK A.S. (10196 SAMSUN ATAKUM KÜÇÜKKOLPINAR)</t>
  </si>
  <si>
    <t>KÜÇÜKKOLPINAR MAH.NİŞANTAŞI CD. NO:61/A ATAKUM SAMSUN</t>
  </si>
  <si>
    <t>745189</t>
  </si>
  <si>
    <t>SOK A.S. (10212 SİNOP ORDU CADDESİ)</t>
  </si>
  <si>
    <t>GELİNCİK MAH.ORDU CAD.NO:52B/A  SINOP(MERKEZ) SINOP</t>
  </si>
  <si>
    <t>745461</t>
  </si>
  <si>
    <t>SOK A.S. (10246 SAMSUN AYVACIK)</t>
  </si>
  <si>
    <t>ORHANGAZİ MH. ATATÜRK BULVARI DOĞA SİTESİ APARTMANI NO:11A/Z102-Z103-Z104 AYVACIK SAMSUN</t>
  </si>
  <si>
    <t>746902</t>
  </si>
  <si>
    <t>SOK A.S. (10351 SAMSUN BARIŞ BULVARI)</t>
  </si>
  <si>
    <t>KIŞLA MH. BARIŞ BULVARI NO:40/A-B ILKADIM SAMSUN</t>
  </si>
  <si>
    <t>747486</t>
  </si>
  <si>
    <t>YEMEK SEPETİ GIDA TİC. A.Ş. (ATAKUM)</t>
  </si>
  <si>
    <t>E-Ticaret</t>
  </si>
  <si>
    <t>MİMAR SİNAN MH. İSMET İNÖNÜ BULVARI NO:150A 1 NOLU BAĞIMSIZ BÖLÜM  ATAKUM SAMSUN</t>
  </si>
  <si>
    <t>747599</t>
  </si>
  <si>
    <t>SOK A.S. (10432 MUSTAFA ZIVALI BULVARI)</t>
  </si>
  <si>
    <t>DEREBAHÇE MAH.KAFKAS CAD.NO:220 A/40 ILKADIM SAMSUN</t>
  </si>
  <si>
    <t>747710</t>
  </si>
  <si>
    <t>SOK A.S. (10446 İLKADIM ABDÜLHAK HAMİT)</t>
  </si>
  <si>
    <t>BAHÇELİEVLER MH. 11 SK. NO:1 B/1-2 ILKADIM SAMSUN</t>
  </si>
  <si>
    <t>748868</t>
  </si>
  <si>
    <t>SOK A.S. (10536 SAMSUN KARAKOL)</t>
  </si>
  <si>
    <t>KADİFEKALE MH. KARAKOL SK. NO:38  ILKADIM SAMSUN</t>
  </si>
  <si>
    <t>749196</t>
  </si>
  <si>
    <t>SOK A.S. (10558 SAMSUN ÇARŞAMBA SARICALI)</t>
  </si>
  <si>
    <t>SARICALI MH. YUNUS EMRE CD. NO:136/A-B-C-D ÇARSAMBA SAMSUN</t>
  </si>
  <si>
    <t>750022</t>
  </si>
  <si>
    <t>SOK A.S. (10622 SAMSUN HASTANE)</t>
  </si>
  <si>
    <t>TEPECİK MH. 1537 SK.NO:3/13-14-15-16-17  ILKADIM SAMSUN</t>
  </si>
  <si>
    <t>752423</t>
  </si>
  <si>
    <t>GÜNYELİ MARKET MUSTAFA GÜNYELİ</t>
  </si>
  <si>
    <t>05393802455</t>
  </si>
  <si>
    <t>DOĞANCA MAH. ŞEHİT MEHMET BOŞNAL BLV. NO:11/A BAFRA SAMSUN BAFRA SAMSUN</t>
  </si>
  <si>
    <t>752560</t>
  </si>
  <si>
    <t>SALİH AK BAKKAL</t>
  </si>
  <si>
    <t>05426635551</t>
  </si>
  <si>
    <t>TÜRKMEN MAH.VEZİRKÖPRÜ SAMSUN VEZIRKÖPRÜ SAMSUN</t>
  </si>
  <si>
    <t>752951</t>
  </si>
  <si>
    <t>ALTAN MARKET-FERDANE ALTAN</t>
  </si>
  <si>
    <t>05306955265</t>
  </si>
  <si>
    <t>TİRYAKİOĞLU MAH.TİRYAKİOĞLU SK. NO:33 AYVACIK SAMSUN</t>
  </si>
  <si>
    <t>753334</t>
  </si>
  <si>
    <t>AKİF DOĞAN DOĞAN MARKET</t>
  </si>
  <si>
    <t>05365049103</t>
  </si>
  <si>
    <t>KUZEY YILDIZI MAH ÇİFTLİK MAH. NO:31/A CANIK SAMSUN</t>
  </si>
  <si>
    <t>754046</t>
  </si>
  <si>
    <t>HİZMET MARKET ZEKİ ULUDOĞAN</t>
  </si>
  <si>
    <t>05388500662</t>
  </si>
  <si>
    <t>KIŞLA MAH. YEŞİLYALI SK.NO:42 İLKADIM SAMSUN ILKADIM SAMSUN</t>
  </si>
  <si>
    <t>754444</t>
  </si>
  <si>
    <t>SOK A.S. (10706 İLKADIM KAFKAS)</t>
  </si>
  <si>
    <t>DEREBAHÇE MH. BALAMAN SK. NO:1-A/46-47  ILKADIM SAMSUN</t>
  </si>
  <si>
    <t>754571</t>
  </si>
  <si>
    <t>YASEMİN ŞAHİN</t>
  </si>
  <si>
    <t>05448631970</t>
  </si>
  <si>
    <t>EMİREFENDİ MAH.DUHA SERTKAYA BULVARI NO:24/A BAFRA SAMSUN BAFRA SAMSUN</t>
  </si>
  <si>
    <t>754572</t>
  </si>
  <si>
    <t>YILMAZLAR MARKET FEHMİ YILMAZ</t>
  </si>
  <si>
    <t>05334794128</t>
  </si>
  <si>
    <t>FEVZİ ÇAKMAK MH.SÜLEYMANŞAH SK.NO:33/1 İLKADIM ILKADIM SAMSUN</t>
  </si>
  <si>
    <t>756462</t>
  </si>
  <si>
    <t>POMPACI BAKKAL YUNUS EMRE ERDOĞAN</t>
  </si>
  <si>
    <t>05344174652</t>
  </si>
  <si>
    <t>DDEDAĞI MAH.İSA KURT SOK.NO:84/1 BAFRA SAMSUN BAFRA SAMSUN</t>
  </si>
  <si>
    <t>757101</t>
  </si>
  <si>
    <t>BURCUKENT MARKET MUSTAFA VAROL</t>
  </si>
  <si>
    <t>05467357590</t>
  </si>
  <si>
    <t>ANADOLU MAH İMANDERE SOK. ANADOLU MAH. İMANDERE SOK. NO:36/1 ILKADIM SAMSUN</t>
  </si>
  <si>
    <t>760989</t>
  </si>
  <si>
    <t>KABAKÇIOĞLU MARKET NECİP KABAKÇIOĞLU</t>
  </si>
  <si>
    <t>05377176847</t>
  </si>
  <si>
    <t>SAMSUN ANKARA KARAYOLU 12.KM TOYBELEN KÖYÜ NO:225 İLKADIM SAMSUN ILKADIM SAMSUN</t>
  </si>
  <si>
    <t>762209</t>
  </si>
  <si>
    <t>AKGÜL MARKET YAŞAR AKGÜL</t>
  </si>
  <si>
    <t>05385776790</t>
  </si>
  <si>
    <t>TEPEÖREN MH. VEZİRKÖPRÜ SAMSUN VEZIRKÖPRÜ SAMSUN</t>
  </si>
  <si>
    <t>763415</t>
  </si>
  <si>
    <t>SOK A.S. (10843 ÜNYE FEVZİ ÇAKMAK)</t>
  </si>
  <si>
    <t>FEVZİ ÇAKMAK MAH. FEVZİ ÇAKMAK CD. NO:220A  ÜNYE ORDU</t>
  </si>
  <si>
    <t>763416</t>
  </si>
  <si>
    <t>SOK A.S. (10866 SAMSUN KIRAN TOKİ)</t>
  </si>
  <si>
    <t>KIRAN MH., 713. CADDE, NO:98  ILKADIM SAMSUN</t>
  </si>
  <si>
    <t>764298</t>
  </si>
  <si>
    <t>SOK A.S. (10910 CANİK ÜSKÜP CADDESİ)</t>
  </si>
  <si>
    <t>HASKÖY MH., ÜSKÜP CD. NO: 75A-75B  CANIK SAMSUN</t>
  </si>
  <si>
    <t>764742</t>
  </si>
  <si>
    <t>KARTEPE PETROL ÜRÜNLERİ TİC.LTD.ŞTİ</t>
  </si>
  <si>
    <t>05422441319</t>
  </si>
  <si>
    <t>Y.SAMSUN YOLU NO:200 ÇARŞAMBA SAMSUN ÇARSAMBA SAMSUN</t>
  </si>
  <si>
    <t>764746</t>
  </si>
  <si>
    <t>KARTEPE AKARYAKIT SAN. VE TİC. LTD.ŞTİ.(2)</t>
  </si>
  <si>
    <t>MELİK MH. MELİK SK.NO:30 ÇARŞAMBA SAMSUN ÇARSAMBA SAMSUN</t>
  </si>
  <si>
    <t>765437</t>
  </si>
  <si>
    <t>BAŞTAN ÇAY OCAĞI VE BAKKAL FİKRET BAŞTAN</t>
  </si>
  <si>
    <t>05436153353</t>
  </si>
  <si>
    <t>YAYLAGERİŞ MH.YANAKLAR SK.NO:42/2 TEKKEKÖY SAMSUN TEKKEKÖY SAMSUN</t>
  </si>
  <si>
    <t>767130</t>
  </si>
  <si>
    <t>SOK A.S. (10966 ATAKUM ÇAMLIK)</t>
  </si>
  <si>
    <t>ESENEVLER MH. 312.SK. NO:6B-6C ATAKUM SAMSUN</t>
  </si>
  <si>
    <t>767918</t>
  </si>
  <si>
    <t>MIGROS TiC. A.S. (6730 SAMSUN VEGA HILLS)</t>
  </si>
  <si>
    <t>BÜYÜK KOLPINAR MAH. 1246 CAD. NO:66/22-A ATAKUM SAMSUN</t>
  </si>
  <si>
    <t>768610</t>
  </si>
  <si>
    <t>GNT PROJE LTD. ŞTİ. (BAFRA AÇIK CİK)</t>
  </si>
  <si>
    <t>Askeriye</t>
  </si>
  <si>
    <t>MERKEZ MEVKİİ KÖY SOKAĞI NO:107 107/1 SARIÇEVRE KÖYÜ 55400 (İÇ KANTİN)  BAFRA SAMSUN</t>
  </si>
  <si>
    <t>768612</t>
  </si>
  <si>
    <t>GNT PROJE LTD. ŞTİ. (SAMSUN T TİPİ KAPALI VE AÇIK CİK ADLİYE KANTİNİ)</t>
  </si>
  <si>
    <t>KILIÇDEDE MAH.CUMHURİYET CAD. MUHİTTİN ÖZKEFELİ BULVARI NO:5 İLKADIM/ (ADLİYE KANTİNİ) ILKADIM SAMSUN</t>
  </si>
  <si>
    <t>768613</t>
  </si>
  <si>
    <t>GNT PROJE LTD. ŞTİ. (SAMSUN T TİPİ KAPALI VE AÇIK CİK T TİPİ KAPALI İÇ KANTİN)</t>
  </si>
  <si>
    <t>KADAMUT MAH. ÇATKAYA MERKEZ SOK. NO: 314  ILKADIM SAMSUN</t>
  </si>
  <si>
    <t>768617</t>
  </si>
  <si>
    <t>GNT PROJE LTD. ŞTİ. (SAMSUN T TİPİ KAPALI VE AÇIK CİK 3 NOLU DIŞ KANTİN)</t>
  </si>
  <si>
    <t>KADAMUT MAH. ÇATKAYA MERKEZ SOK. NO: 314 ILKADIM SAMSUN</t>
  </si>
  <si>
    <t>768618</t>
  </si>
  <si>
    <t>GNT PROJE LTD. ŞTİ. (ÇARŞAMBA A TİPİ KAPALI CİK)</t>
  </si>
  <si>
    <t>HASBAHÇE MAH. SOFUOĞLU CAD.NO:146  ÇARSAMBA SAMSUN</t>
  </si>
  <si>
    <t>768663</t>
  </si>
  <si>
    <t>DÖRTYOL MARKET-NİYAZİ TARI</t>
  </si>
  <si>
    <t>05442809057</t>
  </si>
  <si>
    <t>MELİKŞAH KÖYÜ  SINOP(MERKEZ) SINOP</t>
  </si>
  <si>
    <t>768749</t>
  </si>
  <si>
    <t>SOK A.S. (11047 SAMSUN TAFLAN)</t>
  </si>
  <si>
    <t>YALI MAH. ATATÜRK 8.KISIM BULVARI NO:28/A-30/A ATAKUM SAMSUN</t>
  </si>
  <si>
    <t>768750</t>
  </si>
  <si>
    <t>SOK A.S. (11046 HAVZA DEĞİRMENÜSTÜ)</t>
  </si>
  <si>
    <t>DEĞİRMENÜSTÜ MAH. ÇETİN HAYDARİ CD., NO: 3/1-4 HAVZA SAMSUN</t>
  </si>
  <si>
    <t>768751</t>
  </si>
  <si>
    <t>SOK A.S. (11072 SAMSUN)</t>
  </si>
  <si>
    <t>DEREBAHÇE MH. ÇATALZEYTİN SK. NO: 14 ILKADIM SAMSUN</t>
  </si>
  <si>
    <t>768824</t>
  </si>
  <si>
    <t>GNT PROJE LTD. ŞTİ. (BAFRA T TİPİ KAPALI CİK)</t>
  </si>
  <si>
    <t>SARIÇEVRE MH. BAFRA SAMSUN</t>
  </si>
  <si>
    <t>769088</t>
  </si>
  <si>
    <t>DUR-AL MARKET FATMANUR TURAL -HASKÖY ŞB.</t>
  </si>
  <si>
    <t>05304570725</t>
  </si>
  <si>
    <t>HASKÖY MAH ANGIN SOK. NO:8 CANIK SAMSUN</t>
  </si>
  <si>
    <t>769148</t>
  </si>
  <si>
    <t>EFRAİM BAHADUR BAHADUR BÜFE</t>
  </si>
  <si>
    <t>05068148165</t>
  </si>
  <si>
    <t>Gazete Büfesi</t>
  </si>
  <si>
    <t>19 MAYIS MAH HACI ALİ EKİNCİ BLV. NO:18/1 TEKKEKÖY SAMSUN</t>
  </si>
  <si>
    <t>769887</t>
  </si>
  <si>
    <t>BOLAT BAKKAL KURTCA BOLAT</t>
  </si>
  <si>
    <t>05074445285</t>
  </si>
  <si>
    <t>AYVALI MAH.VEZİRKÖPRÜ SAMSUN VEZIRKÖPRÜ SAMSUN</t>
  </si>
  <si>
    <t>770307</t>
  </si>
  <si>
    <t>GNT PROJE LTD. ŞTİ. (ÜNYE M TİPİ KAPALI CİK)</t>
  </si>
  <si>
    <t>YÜCELER KÖYÜ HENDEK SUYU MEVKİİ NO: 85 ÜNYE ORDU</t>
  </si>
  <si>
    <t>770544</t>
  </si>
  <si>
    <t>BAFRAM MARKET HAVVA AYDIN</t>
  </si>
  <si>
    <t>05312446997</t>
  </si>
  <si>
    <t>MCA APT.NO:27/A BAFRA SAMSUN BAFRA SAMSUEVLANA MH.KOYUNCU SK. AKN</t>
  </si>
  <si>
    <t>771277</t>
  </si>
  <si>
    <t>ASHKA ORGANİZASYON BİRGÜL ALTINTAŞ</t>
  </si>
  <si>
    <t>05445461546</t>
  </si>
  <si>
    <t>ÇATALARMUT MAH. DEVREK SK. NO:7/1 ILKADIM SAMSUN</t>
  </si>
  <si>
    <t>771979</t>
  </si>
  <si>
    <t>BİLCAN TURİZM İNŞAAT SAN.VE TİC. A.Ş</t>
  </si>
  <si>
    <t>KÖRFEZ MH.5010.SK A BLOK NO:3 ATAKUM SAMSUN ATAKUM SAMSUN</t>
  </si>
  <si>
    <t>772748</t>
  </si>
  <si>
    <t>SOK A.S. (11160 SAMSUN ASARCIK)</t>
  </si>
  <si>
    <t>BİÇİNCİK MAH., MEHMET ÇETİN CAD., NO:20/A-E-F  ASARCIK SAMSUN</t>
  </si>
  <si>
    <t>772945</t>
  </si>
  <si>
    <t>SOFRA YEMEK ÜRT. VE HIZ.A.S. (TED SAMSUN KOLEJİ PROJESİ 1.18.TED.002)</t>
  </si>
  <si>
    <t>BEYPINAR, 1391. SOK NO:12 ATAKUM SAMSUN</t>
  </si>
  <si>
    <t>773168</t>
  </si>
  <si>
    <t>SOK A.S. (11184 SAMSUN BAFRA HACINABI)</t>
  </si>
  <si>
    <t>EMIREFENDI MH ZUBEYDE HANIM CD. NO:64-68/A  BAFRA SAMSUN</t>
  </si>
  <si>
    <t>773429</t>
  </si>
  <si>
    <t>GETİR PER. LOJ. A.Ş. (ÖMÜREVLER GB)</t>
  </si>
  <si>
    <t>CUMHURİYET MH. İSMET İNÖNÜ BULVARI DURAK APARTMANI NO: 288  ATAKUM SAMSUN</t>
  </si>
  <si>
    <t>773430</t>
  </si>
  <si>
    <t>GETİR PER. LOJ. A.Ş. (İLKADIMBÜYÜK)</t>
  </si>
  <si>
    <t>KAZIM KARABEKİR MH. OKAN SK. NO: 1 A-2  ILKADIM SAMSUN</t>
  </si>
  <si>
    <t>773431</t>
  </si>
  <si>
    <t>GETİR PER. LOJ. A.Ş. (GENÇLİK PARKI)</t>
  </si>
  <si>
    <t>SELAHİYE MH. 2. BULVAR YOLU NO: 46/23  ILKADIM SAMSUN</t>
  </si>
  <si>
    <t>773948</t>
  </si>
  <si>
    <t>BTT FRC 6435 GÜLÖREN (SEÇ)</t>
  </si>
  <si>
    <t>GÜLÖREN MAH. MERKEZ SOK. NO:7/1F ÇARSAMBA SAMSUN</t>
  </si>
  <si>
    <t>774672</t>
  </si>
  <si>
    <t>İLKAY KUYUMCULUK İNŞ.MİM.MÜH.SAN VE TİC.LTD.ŞTİ</t>
  </si>
  <si>
    <t>05</t>
  </si>
  <si>
    <t>SARICALI MAH Y. EMRE CAD. NO:9 ÇARSAMBA SAMSUN</t>
  </si>
  <si>
    <t>775090</t>
  </si>
  <si>
    <t>GETİR PER. LOJ. A.Ş. (BAFRAMEVSİM SC)</t>
  </si>
  <si>
    <t>EMİREFENDİ MH. YELKENCİ YOLU SK. NO: 3-1  BAFRA SAMSUN</t>
  </si>
  <si>
    <t>775091</t>
  </si>
  <si>
    <t>GETİR PER. LOJ. A.Ş. (ÇARŞAMBABEYAZ SC)</t>
  </si>
  <si>
    <t>SUNGURLU MH. KİRAZBUCAĞI SK. ÇARSAMBA SAMSUN</t>
  </si>
  <si>
    <t>775480</t>
  </si>
  <si>
    <t>GETİR PER. LOJ. A.Ş. (ATAKUM)</t>
  </si>
  <si>
    <t>ESENEVLER MH. 340. SK. NO: 2/2A  ATAKUM SAMSUN</t>
  </si>
  <si>
    <t>775561</t>
  </si>
  <si>
    <t>SAFFET BEDİR</t>
  </si>
  <si>
    <t>05454097457</t>
  </si>
  <si>
    <t>YAŞARDOĞU MH.GÜREL SOK.NO:30/1 KAVAK SAMSUN KAVAK SAMSUN</t>
  </si>
  <si>
    <t>776287</t>
  </si>
  <si>
    <t>KK GÜVEN AHŞAP HIRDAVAT İNŞ.GIDA.SAN.TİV.LTD.ŞTİ(PAYİDAR KIR DÜĞÜNÜ)</t>
  </si>
  <si>
    <t>05552055388</t>
  </si>
  <si>
    <t>AKLIMAN MAH (DİBEKLİ KÖYÜ) DİBEKLİ KÖYÜ NO:2 MERKEZ SINOP</t>
  </si>
  <si>
    <t>776401</t>
  </si>
  <si>
    <t>ŞAN CAFE AYŞE GÜVELİ</t>
  </si>
  <si>
    <t>5367216161</t>
  </si>
  <si>
    <t>TABAKHANE MH.KAPTAN DERYA SK.NO:4 BAFRA SAMSUN BAFRA SAMSUN</t>
  </si>
  <si>
    <t>776618</t>
  </si>
  <si>
    <t>SOK A.S. (11300 HAVZA YENİMESCİT)</t>
  </si>
  <si>
    <t>YENİMESCİT MAH., VEZİRKÖPRÜ CAD.NO: 85/1 HAVZA SAMSUN</t>
  </si>
  <si>
    <t>776658</t>
  </si>
  <si>
    <t>SOK A.S. (11325 SAMSUN BAFRA)</t>
  </si>
  <si>
    <t>EMIREFENDI MH DUHA SERTKAYA BULVAR NO:2/A-2/B  BAFRA SAMSUN</t>
  </si>
  <si>
    <t>776659</t>
  </si>
  <si>
    <t>SOK A.S. (11323 SAMSUN DEREKÖY)</t>
  </si>
  <si>
    <t>DEREKOY MH FATIH 2. BULVARI NO297/1  19MAYIS SAMSUN</t>
  </si>
  <si>
    <t>778076</t>
  </si>
  <si>
    <t>GETİR PER. LOJ. A.Ş. (PELİTKÖY)</t>
  </si>
  <si>
    <t>KÖRFEZ MAH. TOPLU KONUT BULVARI NO:32/A ATAKUM SAMSUN</t>
  </si>
  <si>
    <t>778253</t>
  </si>
  <si>
    <t>GETİR PER. LOJ. A.Ş. (CANİK)</t>
  </si>
  <si>
    <t>KARŞIYAKA MH. SELAHATTİN EYYUBİ SK. NO: 66 / 1 CANIK SAMSUN</t>
  </si>
  <si>
    <t>778301</t>
  </si>
  <si>
    <t>SOK A.S. (11403 GERZE İBRAHİMAĞA)</t>
  </si>
  <si>
    <t>ATATÜRK MH., HALİL BAYRAKTAR CD., NO: 66A-66B GERZE SINOP GERZE SINOP</t>
  </si>
  <si>
    <t>779136</t>
  </si>
  <si>
    <t>ENES GIDA ASİYE AY</t>
  </si>
  <si>
    <t>05458086570</t>
  </si>
  <si>
    <t>KÖKÇÜOĞLU MAH 12 ADA TÜRKLER SOK NO:27/1 ILKADIM SAMSUN</t>
  </si>
  <si>
    <t>780294</t>
  </si>
  <si>
    <t>SOK A.S. (11572 ÜNYE ÇAMURLU)</t>
  </si>
  <si>
    <t>ÇAMURLU MAH. ÇİFTE KUYU SOK. NO:41/A ÜNYE ORDU</t>
  </si>
  <si>
    <t>780395</t>
  </si>
  <si>
    <t>SOK A.S. (11579 SAMSUN KAVACIK)</t>
  </si>
  <si>
    <t>KAVACIK MAH KAVACIK MAH.1476.SOK.NO:1 ILKADIM SAMSUN</t>
  </si>
  <si>
    <t>780710</t>
  </si>
  <si>
    <t>GNC YATIRIM İNŞ.SAN VE TİC.LTD.ŞTİ. (CAFE HOME)</t>
  </si>
  <si>
    <t>0535</t>
  </si>
  <si>
    <t>MİMAR SİNAN MAH.A.MENDERES BULV. NO:249 ATAKUM SAMSUN</t>
  </si>
  <si>
    <t>781318</t>
  </si>
  <si>
    <t>SOK A.S. (11653 ÜNYE SARAÇLI)</t>
  </si>
  <si>
    <t>SARAÇLI MAH MENTEŞE 7.SOKAK NO.1/A  ÜNYE ORDU</t>
  </si>
  <si>
    <t>782219</t>
  </si>
  <si>
    <t>SOK A.S. (11742 SAMSUN IŞINSU)</t>
  </si>
  <si>
    <t>ÇATALARMUT MAH.IŞINSU SOK.NO:36A-36B ILKADIM SAMSUN</t>
  </si>
  <si>
    <t>782553</t>
  </si>
  <si>
    <t>SOK A.S. (11752 ATAKUM KARAYOLLARI)</t>
  </si>
  <si>
    <t>ESENEVLER MAH. 406. SOK. NO:25A ATAKUM SAMSUN</t>
  </si>
  <si>
    <t>782554</t>
  </si>
  <si>
    <t>SOK A.S. (11759 BAFRA SANAYİ)</t>
  </si>
  <si>
    <t>FEVZI ÇAKMAK MH SEHIT PIYADE UZMAN ONBASI MUTLUCAN MESECI CAD NO 7/A BAFRA SAMSUN</t>
  </si>
  <si>
    <t>783952</t>
  </si>
  <si>
    <t>ATASOY MARKET MEHMET ATASOY</t>
  </si>
  <si>
    <t>05324400437</t>
  </si>
  <si>
    <t>TAŞKELİK MAH.DOĞAN YUVASI SOK. NO:40/Z ALAÇAM SAMSUN</t>
  </si>
  <si>
    <t>785176</t>
  </si>
  <si>
    <t>SOK A.S. (11834 ÖMÜREVLERİ)</t>
  </si>
  <si>
    <t>CUMHURİYET MAH. 37.SOK. NO:24A-24B ATAKUM SAMSUN</t>
  </si>
  <si>
    <t>785287</t>
  </si>
  <si>
    <t>ME-MUR MARKET METİN CAN YETKİN</t>
  </si>
  <si>
    <t>05395840599</t>
  </si>
  <si>
    <t>YENİMAHALLE MAH.3150. SOK. NO:44/A ATAKUM SAMSUN</t>
  </si>
  <si>
    <t>785867</t>
  </si>
  <si>
    <t>SAMKAR İNŞ.KARO TAŞ.SAN.TİC.LTD.ŞTİ.</t>
  </si>
  <si>
    <t>05345551598</t>
  </si>
  <si>
    <t>DEVGERİŞ MAH.ÇEŞME SOK.NO:21/1 KAPI İÇİ NO:1 CANIK SAMSUN CANIK SAMSUN</t>
  </si>
  <si>
    <t>786012</t>
  </si>
  <si>
    <t>EKOMİNİ YASİN BATUHAN EFE</t>
  </si>
  <si>
    <t>YENİMAHALLE MAH. ATAKENT BULV. ERGÜN SİTESİ C BLOK NO:54/B  ATAKUM SAMSUN</t>
  </si>
  <si>
    <t>786282</t>
  </si>
  <si>
    <t>NUMUNE MARKET FIRIN ABDULLAH YİĞİT</t>
  </si>
  <si>
    <t>GÖLEVİ MAH TOKİ İŞ YERLERİ NO:8 ÜNYE ORDU</t>
  </si>
  <si>
    <t>786654</t>
  </si>
  <si>
    <t>ANIL BAKKALİYESİ ŞAKİR KARTAL</t>
  </si>
  <si>
    <t>05373139584</t>
  </si>
  <si>
    <t>ASRILAN MAH.MERKEZ SOK.NO:80 VEZIRKÖPRÜ SAMSUN</t>
  </si>
  <si>
    <t>787484</t>
  </si>
  <si>
    <t>SOK A.S. (11887 ATAKUM PELİTKÖY TRANVAY DURAĞI)</t>
  </si>
  <si>
    <t>KÖRFEZ MAH. İSMET İNÖNÜ BULVARI NO:68/A  ATAKUM SAMSUN</t>
  </si>
  <si>
    <t>787491</t>
  </si>
  <si>
    <t>SOK A.S. (11877 VEZİRKÖPRÜ TOKİ)</t>
  </si>
  <si>
    <t>ÇAYIRBAŞI MAH., NALBANTLI CAD. NO:91/1-2-3-4 VEZIRKÖPRÜ SAMSUN</t>
  </si>
  <si>
    <t>788324</t>
  </si>
  <si>
    <t>BTT FRC 6922 UĞUR PISIL (SEÇ)</t>
  </si>
  <si>
    <t>YAŞARDOĞU MAH. MOTİF SOK. NO:7/A ILKADIM SAMSUN</t>
  </si>
  <si>
    <t>790819</t>
  </si>
  <si>
    <t>SOK A.S. (11956 ATAKUM 19 MAYIS BULVARI)</t>
  </si>
  <si>
    <t>YENİMAHALLE MAH. KIBRIS CAD. NO: 33A ATAKUM SAMSUN</t>
  </si>
  <si>
    <t>791053</t>
  </si>
  <si>
    <t>ÇAKIR BAKKAL İLYAS ÇAKIR</t>
  </si>
  <si>
    <t>05373702934</t>
  </si>
  <si>
    <t>TOPLU MAH.ORDULU SOK. NO:24/1 ALAÇAM SAMSUN</t>
  </si>
  <si>
    <t>792025</t>
  </si>
  <si>
    <t>SOK A.S. (11981 ATAKUM GÜNEYLİ)</t>
  </si>
  <si>
    <t>MİMARSİNAN MAH 152.SOKAK NO:6/A-6/B  ATAKUM SAMSUN</t>
  </si>
  <si>
    <t>792881</t>
  </si>
  <si>
    <t>BTT FRC 6880 SAMSUN HATİCE SEVGÜLÜ (SEÇ)</t>
  </si>
  <si>
    <t>BELEDİYE EVLERİ MAH. CENGİZ TOPEL CAD. NO:57 CANIK SAMSUN</t>
  </si>
  <si>
    <t>793821</t>
  </si>
  <si>
    <t>ŞEN BAKKALİYE RECEP ŞEN</t>
  </si>
  <si>
    <t>05432424667</t>
  </si>
  <si>
    <t>GÖKÇEBOĞAZKÖYÜ ALAÇAM ALAÇAM SAMSUN</t>
  </si>
  <si>
    <t>793870</t>
  </si>
  <si>
    <t>BTT FRC 7057 SAMSUN ÇARŞAMBA CUMHURİYET MAHALLESİ (SEÇ)</t>
  </si>
  <si>
    <t>CUMHURİYET MAH. 1006 SOK.HAN DÖNER NO:47 A  ÇARSAMBA SAMSUN</t>
  </si>
  <si>
    <t>794251</t>
  </si>
  <si>
    <t>AHMET EROL BAKKAL</t>
  </si>
  <si>
    <t>05365721546</t>
  </si>
  <si>
    <t>BAKIRPINAR MAH.MERKEZ SOK BAFRA SAMSUN</t>
  </si>
  <si>
    <t>796757</t>
  </si>
  <si>
    <t>HATİCE YİĞİT</t>
  </si>
  <si>
    <t>05413005888</t>
  </si>
  <si>
    <t>GÖLEVİ MAH. TOKİ SOK. TİCARET MERKEZİ NO:10 İÇ KAPI NO :Z8 ÜNYE ORDU</t>
  </si>
  <si>
    <t>797037</t>
  </si>
  <si>
    <t>YİĞİT MARKET YASİN BALCI</t>
  </si>
  <si>
    <t>05366616276</t>
  </si>
  <si>
    <t>BAYRAMCA MAH. ŞHT CEMAL MUTLU SOK. NO:29 ÜNYE ORDU</t>
  </si>
  <si>
    <t>797241</t>
  </si>
  <si>
    <t>SOK A.S. (12130 ATAKUM HAMDİ BEY)</t>
  </si>
  <si>
    <t>KÖRFEZ MAH. TOPLU KONUT BULVARI NO:58/A ATAKUM/SAMSUN ATAKUM SAMSUN</t>
  </si>
  <si>
    <t>797317</t>
  </si>
  <si>
    <t>BTT FRC 7130 SAMSUN KEMAL DOGAN KARTAL (SEÇ)</t>
  </si>
  <si>
    <t>ALLI MAH. ARIM SOK. NO: 17/1 A  ÇARSAMBA SAMSUN</t>
  </si>
  <si>
    <t>798114</t>
  </si>
  <si>
    <t>İSTİKLAL İLKÖĞRETİM KANTİNİ YETKİN KAYA</t>
  </si>
  <si>
    <t>05436526601</t>
  </si>
  <si>
    <t>YENİ MAH. KARANTİNA SOK. NO:12/B MERKEZ SINOP</t>
  </si>
  <si>
    <t>798435</t>
  </si>
  <si>
    <t>GÜL İHTİSAS İNŞ.TEM.SERV.TAŞ.DANIŞ.İLTŞ.GIDA MAMÜL.TAR.TEKS.PET.ÜRN.SAN.TİC.LTD.ŞTİ.</t>
  </si>
  <si>
    <t>05459757927</t>
  </si>
  <si>
    <t>ÖĞÜRLÜ MAH. DEĞİRMEN YANI SOK.NO:62 VEZIRKÖPRÜ SAMSUN</t>
  </si>
  <si>
    <t>798981</t>
  </si>
  <si>
    <t>ÇAVUŞOĞLU OTEL TURİZM İNŞ.SAN.VE TİC.LTD.ŞTİ.</t>
  </si>
  <si>
    <t>19 MAYIS MAH. ATATÜRK BULV. NO:346/2-1 TEKKEKÖY SAMSUN</t>
  </si>
  <si>
    <t>799292</t>
  </si>
  <si>
    <t>SOK A.S. (12205 SAMSUN TERME FENK)</t>
  </si>
  <si>
    <t>FENK MAH ÇARŞAMBA CAD. DIŞ KAPI NO:47/A TERME SAMSUN</t>
  </si>
  <si>
    <t>799820</t>
  </si>
  <si>
    <t>SAHNE TERAS ORGANİZASYON DÜĞÜN VE TOPLANTI SALONU TİC.LTD.ŞTİ.</t>
  </si>
  <si>
    <t>05322616380</t>
  </si>
  <si>
    <t>19 MAYIS MAH ATATÜRK BULV. NO:8 ILKADIM SAMSUN</t>
  </si>
  <si>
    <t>799839</t>
  </si>
  <si>
    <t>BTT FRC 7132 SAMSUN İBRAHİM MISIRCI (SEÇ)</t>
  </si>
  <si>
    <t>GAZİOSMANPAŞ MAH.AYDINOGULLARI SOK. NO:76/1 CANIK SAMSUN</t>
  </si>
  <si>
    <t>800508</t>
  </si>
  <si>
    <t>ORHAN TOSUN GÜDELOĞLU MARKET</t>
  </si>
  <si>
    <t>05450300000</t>
  </si>
  <si>
    <t>ÇATALARMUT MAH OLGUN SOK. NO:137/1 ILKADIM SAMSUN</t>
  </si>
  <si>
    <t>800672</t>
  </si>
  <si>
    <t>GNT PROJE LTD. ŞTİ. (KAVAK AÇIK CİK)</t>
  </si>
  <si>
    <t>MURATBEY MAH. MURATBEYLİ SOK. NO:46/1 KAVAK SAMSUN</t>
  </si>
  <si>
    <t>802391</t>
  </si>
  <si>
    <t>DERYA AKAR</t>
  </si>
  <si>
    <t>05384737964</t>
  </si>
  <si>
    <t>GEÇMİŞ MAH. MERKEZ TERME SAMSUN</t>
  </si>
  <si>
    <t>802788</t>
  </si>
  <si>
    <t>SAĞLAM MARKET 3 MEHMET SAĞLAM</t>
  </si>
  <si>
    <t>05357361468</t>
  </si>
  <si>
    <t>KADİFEKALE MAH.KARAKOL SOK.NO:19/2 ILKADIM SAMSUN</t>
  </si>
  <si>
    <t>802997</t>
  </si>
  <si>
    <t>SOK A.S. (12335 SAMSUN NAZLI)</t>
  </si>
  <si>
    <t>YENİMAHALLE MAH. ENES CAD. ATAKUM SAMSUN</t>
  </si>
  <si>
    <t>802999</t>
  </si>
  <si>
    <t>SOK A.S. (12334 ORDU ÜNYE ANAFARTA)</t>
  </si>
  <si>
    <t>ATATÜRK MAH. ANAFARTA SOK. NO:15/A ÜNYE ORDU</t>
  </si>
  <si>
    <t>803548</t>
  </si>
  <si>
    <t>SOK A.S. (12340 SİNOP YAĞMUR)</t>
  </si>
  <si>
    <t>YENİ MAH. GAZİ CAD. NO:23/A  MERKEZ SINOP</t>
  </si>
  <si>
    <t>803903</t>
  </si>
  <si>
    <t>BTT FRC 7330 MERT TİCARET (SEÇ)</t>
  </si>
  <si>
    <t>YENİ MAH. ŞEHİT DAVUT KUZU CAD. NO: 1/B SALIPAZARI SAMSUN</t>
  </si>
  <si>
    <t>804325</t>
  </si>
  <si>
    <t>REMZİ ÇAVUŞ YALOVA PETROL</t>
  </si>
  <si>
    <t>05535333661</t>
  </si>
  <si>
    <t>SARIIŞIK MAH. DEĞİRMENDÜZÜ SOK.NO:46 ATAKUM SAMSUN</t>
  </si>
  <si>
    <t>804554</t>
  </si>
  <si>
    <t>OĞUZLAR SÜPER MARKET YENER UĞUZ</t>
  </si>
  <si>
    <t>05458268555</t>
  </si>
  <si>
    <t>ÇAY MAH. M.KURU CAD. NO:145/1 HAVZA SAMSUN</t>
  </si>
  <si>
    <t>805009</t>
  </si>
  <si>
    <t>RAHİM OLGUN BAKKALİYE</t>
  </si>
  <si>
    <t>5458535695</t>
  </si>
  <si>
    <t>ORTA MAH MANOLYA SOK. NO:21 ÇARSAMBA SAMSUN</t>
  </si>
  <si>
    <t>805013</t>
  </si>
  <si>
    <t>SOK A.S. (12375 SAMSUN ÇARŞAMBA ÇINARLIK)</t>
  </si>
  <si>
    <t>ÇINARLIK MAH. RECEP TAYYİP ERDOĞAN BULV. NO: 3A-3B-3C-3D  ÇARSAMBA SAMSUN</t>
  </si>
  <si>
    <t>805014</t>
  </si>
  <si>
    <t>SOK A.S. (12367 SAMSUN İLKADIM İPEK)</t>
  </si>
  <si>
    <t>DEREBAHÇE MAH. KAFKAS CAD. NO: 11 A  ILKADIM SAMSUN</t>
  </si>
  <si>
    <t>806140</t>
  </si>
  <si>
    <t>ECEM MARKET GÜL TUTAR</t>
  </si>
  <si>
    <t>05418322364</t>
  </si>
  <si>
    <t>HAYDARAĞA MAH. NO:4 TERME SAMSUN</t>
  </si>
  <si>
    <t>806198</t>
  </si>
  <si>
    <t>ALİ KEL HALİMOĞULLARI-2</t>
  </si>
  <si>
    <t>05322308078</t>
  </si>
  <si>
    <t>KÖŞE MAH. MERKEZ 19.SOK NO:75/A BAFRA SAMSUN</t>
  </si>
  <si>
    <t>806951</t>
  </si>
  <si>
    <t>ŞAKRA GIDA TURİZM İNŞ. SAN.VE TİC.LTD.ŞTİ(AMİSOS RESTORANT)</t>
  </si>
  <si>
    <t>BARUTHANE MAH. CAN SOK. BLOK NO:2 İÇ KAPI:1 ILKADIM SAMSUN</t>
  </si>
  <si>
    <t>807553</t>
  </si>
  <si>
    <t>SOK A.S. (12505 GERZE YAŞAM EVLERİ)</t>
  </si>
  <si>
    <t>19 MAYIS MAH. ZÜBEYDE HANIM CAD. NO: 6A  GERZE SINOP</t>
  </si>
  <si>
    <t>808638</t>
  </si>
  <si>
    <t>SOK A.S. (12595 BAFRA BOZTEPE)</t>
  </si>
  <si>
    <t>FATİH MAH. ALİKALE CAD.NO:76  BAFRA SAMSUN</t>
  </si>
  <si>
    <t>808812</t>
  </si>
  <si>
    <t>ADABAHÇE DÜĞÜN SALONU VURAL ALİ YÜTÜR</t>
  </si>
  <si>
    <t>05418906757</t>
  </si>
  <si>
    <t>KEFEVİ MAH. BÜYÜK ÇEŞME ŞEHİT BÜLENT YALÇIN SOK.NO:8/A MERKEZ SINOP</t>
  </si>
  <si>
    <t>809041</t>
  </si>
  <si>
    <t>SOK A.S. (12535 TEKKEKÖY KARANFİL)</t>
  </si>
  <si>
    <t>19 MAYIS MAH. 655 CAD. NO:37/A TEKKEKÖY SAMSUN</t>
  </si>
  <si>
    <t>809402</t>
  </si>
  <si>
    <t>BTT FRC 7488 SAMSUN SERDAR ÇETİN (SEÇ)</t>
  </si>
  <si>
    <t>KİRAZLIKÇAY MAH. DEĞİRMENBAŞI CAD.NO:99/B ÇARSAMBA SAMSUN</t>
  </si>
  <si>
    <t>809715</t>
  </si>
  <si>
    <t>SOK A.S. (12581 CANİK ECEM)</t>
  </si>
  <si>
    <t>KUZEY YILDIZI MAH.FAS SOK.NO: 8/6-7  CANIK SAMSUN</t>
  </si>
  <si>
    <t>810211</t>
  </si>
  <si>
    <t>KÜLLİYAT EĞİTİM ÖĞRETİM TİC.SAN A.Ş.</t>
  </si>
  <si>
    <t>05301858637</t>
  </si>
  <si>
    <t>MİMAR SİNAN MAH. ATATÜRK BULV. 19 MAYIS İSLAM KÜLTÜR YURDU ATAKUM SAMSUN</t>
  </si>
  <si>
    <t>811514</t>
  </si>
  <si>
    <t>GETİR PER. LOJ. A.Ş. (ORDU SUDEM SC)</t>
  </si>
  <si>
    <t>LİSELER MAH. ARİF NİHAT ASYA SOK. NO:6/A ÜNYE ORDU</t>
  </si>
  <si>
    <t>811882</t>
  </si>
  <si>
    <t>PAMUK KARDEŞLER BALIK RESTORAN SAN.VE TİC. LTD.ŞTİ.</t>
  </si>
  <si>
    <t>05433809712</t>
  </si>
  <si>
    <t>CUMHURİYET MAH. ADNAN MENDERES 1. KISIM BULV. NO:331 ATAKUM SAMSUN</t>
  </si>
  <si>
    <t>812251</t>
  </si>
  <si>
    <t>SOK A.S. (12708 SAMSUN İLKADIM ERÇALLAR)</t>
  </si>
  <si>
    <t>ZAFER MAH. CUMHURİYET CAD. NO: 31/1-2-3-4-5-6  ILKADIM SAMSUN</t>
  </si>
  <si>
    <t>813962</t>
  </si>
  <si>
    <t>SOK A.S. (12810 ATAKUM ABAY)</t>
  </si>
  <si>
    <t>YENİMAHALLE MAH. 3291. SOK. NO:1/A-B ATAKUM SAMSUN</t>
  </si>
  <si>
    <t>814180</t>
  </si>
  <si>
    <t>SOK A.S. (12821 ORDU ALPARSLAN)</t>
  </si>
  <si>
    <t>LİSELER MAH. FATİH SULTAN MEHMET 1. SOK. NO:13/A-B ÜNYE ORDU</t>
  </si>
  <si>
    <t>815411</t>
  </si>
  <si>
    <t>CADDE MARKET HİLAL GÜNEŞ</t>
  </si>
  <si>
    <t>05349826831</t>
  </si>
  <si>
    <t>YENİMAHALLE MAH FATİH SOK. YENİMAHALLE MAH. FATİH CAD. NO:86/A ATAKUM SAMSUN</t>
  </si>
  <si>
    <t>816024</t>
  </si>
  <si>
    <t>SAMSUNPARK ÖZEL SAĞLIK HİZ.(MEDİCALPARK)</t>
  </si>
  <si>
    <t>05306089400</t>
  </si>
  <si>
    <t>MERKEZ EFENDİ MH. MEVLANA CD.TERCÜMAN SİT. A BLOK NO:116/4 ZEYTİNBURNU İSTANBUL ATAKUM SAMSUN</t>
  </si>
  <si>
    <t>816152</t>
  </si>
  <si>
    <t>BAFRA GüLDOĞAN ET GIDA HAYVANCILIK ITHALAT IHRACAT SANAYI TICARET LIMITED SIRKETI</t>
  </si>
  <si>
    <t>05323354227</t>
  </si>
  <si>
    <t>DEDEDAĞI MAH.CAMİ SOK. NO:36 BAFRA SAMSUN</t>
  </si>
  <si>
    <t>816474</t>
  </si>
  <si>
    <t>SOK A.S. (198 ÜNYE ÇAMBAŞI CADDESİ)</t>
  </si>
  <si>
    <t>ATATÜRK MH. ÇAMBAŞI CD. NO:22/1 ÜNYE ORDU</t>
  </si>
  <si>
    <t>818415</t>
  </si>
  <si>
    <t>KAVAK İMAR TURİZM SAN VE TİC. LTD. ŞTİ(GÜVEN PARK)</t>
  </si>
  <si>
    <t>MEHMET PASA MH FSM CD YENI BELEDIYE HIZMET BINASI NO:67/1  KAVAK SAMSUN KAVAK SAMSUN</t>
  </si>
  <si>
    <t>819255</t>
  </si>
  <si>
    <t>MÜRVET ABLA MİNİ MARKET CAVİT EMRE KOÇAK</t>
  </si>
  <si>
    <t>05456896805</t>
  </si>
  <si>
    <t>BAHÇELER MAH EBÜLFEZLEÇİBEY CAD. NO:118/A BAFRA SAMSUN</t>
  </si>
  <si>
    <t>819259</t>
  </si>
  <si>
    <t>SARAY BAKKAL GÜRSEL KAYA</t>
  </si>
  <si>
    <t>05309247157</t>
  </si>
  <si>
    <t>ÇARŞI MAH VEYSEL ÇAVUŞ CAD.  GERZE SINOP</t>
  </si>
  <si>
    <t>819565</t>
  </si>
  <si>
    <t>TOK KARDEŞLER ERDEM TOK</t>
  </si>
  <si>
    <t>05415753155</t>
  </si>
  <si>
    <t>DİKBIYIK MAH LİSE CAD. DİKBIYIK MAH. LİSE CAD. NO:20/A ÇARSAMBA SAMSUN</t>
  </si>
  <si>
    <t>819739</t>
  </si>
  <si>
    <t>BEREKET MARKET ŞEFİK İNAN</t>
  </si>
  <si>
    <t>05327619364</t>
  </si>
  <si>
    <t>HASTANE MAH GÖKYAY CAD. HASTANE MAH. GÖKYAY SOK. NO:27/1 ILKADIM SAMSUN</t>
  </si>
  <si>
    <t>819740</t>
  </si>
  <si>
    <t>SUDE TEMİZLİK ÜRÜN. VE KIRTASİYE İSMAİL ALKAN</t>
  </si>
  <si>
    <t>Kırtasiye</t>
  </si>
  <si>
    <t>GAZİOSMANPAŞA MAH SANDIKLI SOK. NO:1 CANIK SAMSUN</t>
  </si>
  <si>
    <t>820473</t>
  </si>
  <si>
    <t>DOSTLAR BAKKALI EMRULLAH KARAMARA</t>
  </si>
  <si>
    <t>05445139592</t>
  </si>
  <si>
    <t>TOYBELEN MAH YEŞİLKENT YEŞİLKENT TOYBELEN MAH.  ILKADIM SAMSUN</t>
  </si>
  <si>
    <t>820582</t>
  </si>
  <si>
    <t>YUNUS MİNİ MARKET ŞABAN TORUN</t>
  </si>
  <si>
    <t>05327622995</t>
  </si>
  <si>
    <t>KAZIM KARABEKİR MAH MEVLANA KAPI SOK KAZIMKARABEKİR MAH. MEVLANA KAPI SOK. NO:28/A ILKADIM SAMSUN</t>
  </si>
  <si>
    <t>821649</t>
  </si>
  <si>
    <t>BİL-AL MARKET BAYRAM KARACAOĞLU</t>
  </si>
  <si>
    <t>05537413432</t>
  </si>
  <si>
    <t>BAHÇELİEVLER MAH Ş.J ONB. BESİM KAZAR SOK. BAHÇELİEVLER MAH. Ş.J.ONB. BESİM KAZAR SOK. NO:11 HAVZA SAMSUN</t>
  </si>
  <si>
    <t>822162</t>
  </si>
  <si>
    <t>UZGUR MARKET HAVA ÇAKIR</t>
  </si>
  <si>
    <t>05427720598</t>
  </si>
  <si>
    <t>UZGUR MAH UZGUR KÜME EVLERİ UZGUR MAH. UZGUR KÜME EVLERİ NO:51 ILKADIM SAMSUN</t>
  </si>
  <si>
    <t>822360</t>
  </si>
  <si>
    <t>AZRA MARKET EMRE SEMİZOĞLU</t>
  </si>
  <si>
    <t>05419518325</t>
  </si>
  <si>
    <t>ANADOLU MAH KUYU SOK. ANADOLU MAH. KUYU SOK. NO:104 ILKADIM SAMSUN</t>
  </si>
  <si>
    <t>822661</t>
  </si>
  <si>
    <t>AHMET AKYOL BAKKAL</t>
  </si>
  <si>
    <t>05382961862</t>
  </si>
  <si>
    <t>SİVRİKESE MAH SİVRİKESE SOK. SİVRİKESE MAH. SİVRİKESE SOK. NO:82 İÇ KAPI NO:A HAVZA SAMSUN</t>
  </si>
  <si>
    <t>822706</t>
  </si>
  <si>
    <t>ÖZDEN BAKKALİYESİ FATMA ÖZDEN</t>
  </si>
  <si>
    <t>05432531918</t>
  </si>
  <si>
    <t>BEŞİKLİ MAH  BEŞİKLİ MAH. NO:3/A TERME SAMSUN</t>
  </si>
  <si>
    <t>822993</t>
  </si>
  <si>
    <t>SOK A.S. (12923 SAMSUN KAVAK CAKIBEY)</t>
  </si>
  <si>
    <t>19 MAYIS MAH. TOPRAK SOK. NO:9/13-14 KAVAK SAMSUN</t>
  </si>
  <si>
    <t>824387</t>
  </si>
  <si>
    <t>ŞEHİT NURİ PAMİR İLKÖĞRETİM OKULU TURHAN YAZICI OKUL KANTİNİ</t>
  </si>
  <si>
    <t>05439505082</t>
  </si>
  <si>
    <t>SARICALI MAH CAVİT PAŞA SOK. SARICALI MAH. CAVİT PAŞA SOK. NO:2 ÇARSAMBA SAMSUN</t>
  </si>
  <si>
    <t>825599</t>
  </si>
  <si>
    <t>AHMET ERÇİN BAKKAL</t>
  </si>
  <si>
    <t>05432459310</t>
  </si>
  <si>
    <t>ÇİVRİL MAH ÇİVRİL KÖYÜ ILKADIM SAMSUN</t>
  </si>
  <si>
    <t>825652</t>
  </si>
  <si>
    <t>SAMET MARKET EBRU KABADAYI</t>
  </si>
  <si>
    <t>05419725400</t>
  </si>
  <si>
    <t>YAVUZLAR MAH İSTİKLAL CAD. NO:49/2 TEKKEKÖY SAMSUN</t>
  </si>
  <si>
    <t>826844</t>
  </si>
  <si>
    <t>ŞENOĞLU BAKKALİYESİ TURGUT ŞENOĞLU</t>
  </si>
  <si>
    <t>05447486004</t>
  </si>
  <si>
    <t>DERELİ MAH (KARLI KÖYÜ) DERELİ MAH. KARLI KÖYÜ GERZE SINOP</t>
  </si>
  <si>
    <t>826846</t>
  </si>
  <si>
    <t>BEREKET TİCARET CENGİZ KORKMAZ</t>
  </si>
  <si>
    <t>05314346085</t>
  </si>
  <si>
    <t>826907</t>
  </si>
  <si>
    <t>SOK A.S. (12960 19 MAYIS SANAYİ)</t>
  </si>
  <si>
    <t>11</t>
  </si>
  <si>
    <t>ŞABANOĞLU MAH. KUTLUKENT BULV. NO:93  TEKKEKÖY SAMSUN</t>
  </si>
  <si>
    <t>827039</t>
  </si>
  <si>
    <t>EKOMİNİ KAMİL TOMBAŞ</t>
  </si>
  <si>
    <t>05366211949</t>
  </si>
  <si>
    <t>DEVECİK MERKEZ MAH. KADİRLİ KÜME EVLERİ NO:4 IKIZCE ORDU</t>
  </si>
  <si>
    <t>827102</t>
  </si>
  <si>
    <t>ŞAFAK KREŞ VE GÜNDÜZ BAKIMEVİ SERV.TAŞ.TİC.LTD.ŞTİ(2)</t>
  </si>
  <si>
    <t>05332536238</t>
  </si>
  <si>
    <t>ESENTEPE MAH ESENTEPE MAH. MUTLUKENT SOK. NO:2/3 VEZIRKÖPRÜ SAMSUN</t>
  </si>
  <si>
    <t>829201</t>
  </si>
  <si>
    <t>SOK A.S. (12991 CANİK DERELER MAHALLESİ)</t>
  </si>
  <si>
    <t>ATATÜRK MAH 420 CAD. NO:10/A-1  CANIK SAMSUN</t>
  </si>
  <si>
    <t>829922</t>
  </si>
  <si>
    <t>ŞELALE PASTANESİ KAFİYE ŞAHİN</t>
  </si>
  <si>
    <t>05448340542</t>
  </si>
  <si>
    <t>ORTA MAH BULVAR CAD. NO:24/C ÇARSAMBA SAMSUN</t>
  </si>
  <si>
    <t>829931</t>
  </si>
  <si>
    <t>DOĞAN BAKKALİYESİ MEHMET DOĞAN</t>
  </si>
  <si>
    <t>05363123911</t>
  </si>
  <si>
    <t>ORTACAMİ MAH 100. YIL CAD. NO:74 VEZIRKÖPRÜ SAMSUN</t>
  </si>
  <si>
    <t>830064</t>
  </si>
  <si>
    <t>BTT FRC 7612 BAHMAR (SEÇ)</t>
  </si>
  <si>
    <t>HASTANE MAH ORUÇBEY CAD. NO:65  ILKADIM SAMSUN</t>
  </si>
  <si>
    <t>830065</t>
  </si>
  <si>
    <t>BTT FRC 7940 KUL MARKET (SEÇ)</t>
  </si>
  <si>
    <t>KOZLUK MAH KOZLUK ATATÜRK CAD. NO:41/A TERME SAMSUN</t>
  </si>
  <si>
    <t>830068</t>
  </si>
  <si>
    <t>BTT FRC 7886 ANIL ARATMA (SEÇ)</t>
  </si>
  <si>
    <t>AVUT MAH AVUT 1/A  SALIPAZARI SAMSUN</t>
  </si>
  <si>
    <t>830391</t>
  </si>
  <si>
    <t>SOK A.S. (12994 ATAKUM GÖKBERK)</t>
  </si>
  <si>
    <t>ESENEVLER MAH İNÖNÜ BULV. NO:73A ATAKUM SAMSUN</t>
  </si>
  <si>
    <t>831032</t>
  </si>
  <si>
    <t>HASAN YARAR</t>
  </si>
  <si>
    <t>05435841573</t>
  </si>
  <si>
    <t>YAVUZ SELİM MAH SEDİR GEÇİDİ NO:113 CANIK SAMSUN</t>
  </si>
  <si>
    <t>831194</t>
  </si>
  <si>
    <t>ZENDEL BAKKALİYESİ CEMİL ZENDEL</t>
  </si>
  <si>
    <t>05305434109</t>
  </si>
  <si>
    <t>ESEN MAH NO:109 VEZIRKÖPRÜ SAMSUN</t>
  </si>
  <si>
    <t>831237</t>
  </si>
  <si>
    <t>HİLAL BAKKAL İHSAN DURMUŞ</t>
  </si>
  <si>
    <t>05435358240</t>
  </si>
  <si>
    <t>GÜLPINAR MAH BALANUR SOK. NO:12 AYVACIK SAMSUN</t>
  </si>
  <si>
    <t>831356</t>
  </si>
  <si>
    <t>BTT FRC 8226 CENİKLİOĞLU (SEÇ)</t>
  </si>
  <si>
    <t>KIŞLA MAH KARPUZLU SOK. NO:71 ILKADIM SAMSUN</t>
  </si>
  <si>
    <t>831427</t>
  </si>
  <si>
    <t>ADEM GEBESOY BAKKAL</t>
  </si>
  <si>
    <t>05435578251</t>
  </si>
  <si>
    <t>KARAYUSUFLU MAH . NO:1 KAVAK SAMSUN</t>
  </si>
  <si>
    <t>849289</t>
  </si>
  <si>
    <t>ENGİZ KURUYEMİŞ MUHAMMED EL HÜSEYİN</t>
  </si>
  <si>
    <t>05437874374</t>
  </si>
  <si>
    <t>PAZAR MAH ATATÜRK BUL. NO:121/1 19MAYIS SAMSUN</t>
  </si>
  <si>
    <t>850039</t>
  </si>
  <si>
    <t>ŞEN KARDEŞLER BAKKALİYESİ ŞENEL ÖLÇÜOĞLU</t>
  </si>
  <si>
    <t>05325758157</t>
  </si>
  <si>
    <t>DOĞANÇAYIR MAH DOĞANÇAYIR SOK. NO:1 HAVZA SAMSUN</t>
  </si>
  <si>
    <t>850358</t>
  </si>
  <si>
    <t>NUR KÖŞEM GIDA</t>
  </si>
  <si>
    <t>05438006872</t>
  </si>
  <si>
    <t>BARUTHANE MAH ANADOLU CAD. NO:55 ILKADIM SAMSUN</t>
  </si>
  <si>
    <t>850416</t>
  </si>
  <si>
    <t>ALGAN MARKET ERDAL ALGAN</t>
  </si>
  <si>
    <t>05418568156</t>
  </si>
  <si>
    <t>BALLICA MAH ÇAMURDUDAĞ CAD. NO:23-4 19MAYIS SAMSUN</t>
  </si>
  <si>
    <t>850757</t>
  </si>
  <si>
    <t>SEMİZOĞLU MARKET YÜKSEL SEMİZOĞLU</t>
  </si>
  <si>
    <t>05389765590</t>
  </si>
  <si>
    <t>YENİDOĞAN MAH SULTAN SELİM CAD. NO:42 TERME SAMSUN</t>
  </si>
  <si>
    <t>850852</t>
  </si>
  <si>
    <t>ÖZKAN BAKKAL ÖZKAN TAKA</t>
  </si>
  <si>
    <t>05382379966</t>
  </si>
  <si>
    <t>ESENÇAY MAH ESENÇAY MERKEZ SOK. NO:275 BAFRA SAMSUN</t>
  </si>
  <si>
    <t>852572</t>
  </si>
  <si>
    <t>SOK A.S. (13074 ATAKUM KAYMAKAMLIK)</t>
  </si>
  <si>
    <t>MİMARSİNAN MAH 115 SK. NO:17/A ATAKUM SAMSUN</t>
  </si>
  <si>
    <t>852573</t>
  </si>
  <si>
    <t>SOK A.S. (13084 VEZİRKÖPRÜ BİLGİÇ)</t>
  </si>
  <si>
    <t>FAZIL AHMET PAŞA MAH FAZIL MUSTAFA PAŞA CAD. NO: 71/2 VEZIRKÖPRÜ SAMSUN</t>
  </si>
  <si>
    <t>852576</t>
  </si>
  <si>
    <t>SOK A.S. (13088 İLKADIM TOZLU)</t>
  </si>
  <si>
    <t>BARUTHANE MAH MURAT TURAN SK. NO: 8/10 ILKADIM SAMSUN</t>
  </si>
  <si>
    <t>852822</t>
  </si>
  <si>
    <t>AYBELYA TATİL KÖYÜ NURAY ÇELİK CAFE RESTORANT</t>
  </si>
  <si>
    <t>05372537702</t>
  </si>
  <si>
    <t>LENGERLİ MAH ÇİFTLİK SOK. NO:8213 BAFRA SAMSUN</t>
  </si>
  <si>
    <t>852853</t>
  </si>
  <si>
    <t>GNT PROJE LTD. ŞTİ. (KAVAK S TİPİ KAPALI CEZA İNFAZ KURUMU)</t>
  </si>
  <si>
    <t>MURATBEYLİ MAH MURATBEYLİ SOK. NO:46/1 KAVAK SAMSUN</t>
  </si>
  <si>
    <t>854162</t>
  </si>
  <si>
    <t>CANİK BELEDİYE BAŞKANLIĞI</t>
  </si>
  <si>
    <t>0542</t>
  </si>
  <si>
    <t>854728</t>
  </si>
  <si>
    <t>ÜMMÜHAN HANCI</t>
  </si>
  <si>
    <t>05367262262</t>
  </si>
  <si>
    <t>TEBERÜK MAH TEBERÜK SOK. NO:14 VEZIRKÖPRÜ SAMSUN</t>
  </si>
  <si>
    <t>855302</t>
  </si>
  <si>
    <t>CANİK SÜRÜCÜ KURSU LTD.ŞTİ.</t>
  </si>
  <si>
    <t>KARŞIYAKA MAH ULUS1 SOK. NO:77/1 CANIK SAMSUN</t>
  </si>
  <si>
    <t>855448</t>
  </si>
  <si>
    <t>FEDAİ ERBOY</t>
  </si>
  <si>
    <t>05462838555</t>
  </si>
  <si>
    <t>KABACEVİZ MAH YENİ SOK. NO:40 ÇARSAMBA SAMSUN</t>
  </si>
  <si>
    <t>855479</t>
  </si>
  <si>
    <t>SOK A.S. (13199 KÖPRÜBAŞI)</t>
  </si>
  <si>
    <t>ORTA MAH KÜÇÜKKURT CAD. NO:248 SALIPAZARI SAMSUN</t>
  </si>
  <si>
    <t>855495</t>
  </si>
  <si>
    <t>KIZILIRMAK BETON MAD.İNŞ.NAK.SAN VE TİC.LTD.ŞTİ.</t>
  </si>
  <si>
    <t>05324893055</t>
  </si>
  <si>
    <t>PAZAR MAH ÖZBEK SOK. NO:1 19MAYIS SAMSUN</t>
  </si>
  <si>
    <t>855529</t>
  </si>
  <si>
    <t>BEYZA MARKET İSMAİL ARSLAN GÜNGÖR</t>
  </si>
  <si>
    <t>05364607019</t>
  </si>
  <si>
    <t>ÇETİNKAYA MAH KÖPRÜBAŞI SOK. NO:1 BAFRA SAMSUN</t>
  </si>
  <si>
    <t>855618</t>
  </si>
  <si>
    <t>DEĞİRMEN CAFE GÜLZADE TIĞ</t>
  </si>
  <si>
    <t>DEREKÖY MAH FATİH MERKEZ BULV. NO:96 19MAYIS SAMSUN</t>
  </si>
  <si>
    <t>855701</t>
  </si>
  <si>
    <t>BTT FRC 7650 ORHAN KÖKÇÜ (SEÇ)</t>
  </si>
  <si>
    <t>ORTA MAH BADEM SOK. NO:2 ÇARSAMBA SAMSUN</t>
  </si>
  <si>
    <t>856219</t>
  </si>
  <si>
    <t>ÖZDEMİR GIDA ADİL ÖZDEMİR</t>
  </si>
  <si>
    <t>05378207860</t>
  </si>
  <si>
    <t>GAZİOSMANPAŞA MAH ŞEHİT MESUT CAD. 1.CAD. CANIK SAMSUN</t>
  </si>
  <si>
    <t>857122</t>
  </si>
  <si>
    <t>SOK A.S. (13283 AYVACIK DİKMEN)</t>
  </si>
  <si>
    <t>EYÜPSULTAN MAH ATATÜRK BULV. NO:95/1A-1B AYVACIK SAMSUN</t>
  </si>
  <si>
    <t>858526</t>
  </si>
  <si>
    <t>SOK A.S. (13335 ATAKUM 1030 SOK.)</t>
  </si>
  <si>
    <t>BALAÇ MAH 1030. SOK. NO:1 A ATAKUM SAMSUN</t>
  </si>
  <si>
    <t>859334</t>
  </si>
  <si>
    <t>SOK A.S. (13376 SİNOP MİRAY)</t>
  </si>
  <si>
    <t>DENİZLER MEVKİİ AŞAĞI MAH (ORDU KÖYÜ) - - MERKEZ SINOP</t>
  </si>
  <si>
    <t>860760</t>
  </si>
  <si>
    <t>SOK A.S. (13443 SAMSUN KAVAK BELEDİYE)</t>
  </si>
  <si>
    <t>BAHÇELİEVLER MAH FATİH SULTAN MEHMET CAD. NO:76 KAVAK SAMSUN</t>
  </si>
  <si>
    <t>863252</t>
  </si>
  <si>
    <t>SOK A.S. (13591 ATAKUM HANCI SOKAK)</t>
  </si>
  <si>
    <t>YENİMAHALLE MAH 3099. SOK. - ATAKUM SAMSUN</t>
  </si>
  <si>
    <t>865135</t>
  </si>
  <si>
    <t>SAFA CAN ABDİK</t>
  </si>
  <si>
    <t>05447901608</t>
  </si>
  <si>
    <t>DEREKÖY MAH FATİH BULVARI 167 19MAYIS SAMSUN</t>
  </si>
  <si>
    <t>865271</t>
  </si>
  <si>
    <t>DDAMLA ÇİÇEK MARKET - ERCAN ÖZEN</t>
  </si>
  <si>
    <t>05413367865</t>
  </si>
  <si>
    <t>GÜNDOĞDU MAH GÜNDOĞDU SK. 225 TERME SAMSUN</t>
  </si>
  <si>
    <t>866103</t>
  </si>
  <si>
    <t>MUSTAFA YEŞER YEŞER SÜPERMARKET</t>
  </si>
  <si>
    <t>05076432450</t>
  </si>
  <si>
    <t>YAŞARDOĞU MAH YAREN SOK. NO:53/2 ILKADIM SAMSUN</t>
  </si>
  <si>
    <t>866125</t>
  </si>
  <si>
    <t>ECEVİT ERGEN KARDEŞLER MARKET</t>
  </si>
  <si>
    <t>0531 584 6749</t>
  </si>
  <si>
    <t>ÇAMURLU MAH ÇİFTE KUYU SK. NO:15/A ÜNYE ORDU</t>
  </si>
  <si>
    <t>866127</t>
  </si>
  <si>
    <t>İSMAİL AYDIN</t>
  </si>
  <si>
    <t>0544 320 1774</t>
  </si>
  <si>
    <t>GÜRECÜLÜ MAH SÖĞÜTLÜ SOKAK NO:85/A ÜNYE ORDU</t>
  </si>
  <si>
    <t>866245</t>
  </si>
  <si>
    <t>BİZİM BAKKAL-ADEM ERACUN</t>
  </si>
  <si>
    <t>5357698449</t>
  </si>
  <si>
    <t>ÇINARLIK MAH RECEP TAYYİP ERDOĞAN BLV. 46/B ÇARSAMBA SAMSUN</t>
  </si>
  <si>
    <t>866246</t>
  </si>
  <si>
    <t>KÖSEOĞLU MARKET-TUNCAY KÖSEOĞLU</t>
  </si>
  <si>
    <t>5353447506</t>
  </si>
  <si>
    <t>KİRAZLIKÇAY MAH ÇETİN SK. 27 ÇARSAMBA SAMSUN</t>
  </si>
  <si>
    <t>866247</t>
  </si>
  <si>
    <t>TABİAT PARK</t>
  </si>
  <si>
    <t>5522787275</t>
  </si>
  <si>
    <t>KİRAZLIKÇAY MAH 475 SK 8 ÇARSAMBA SAMSUN</t>
  </si>
  <si>
    <t>866248</t>
  </si>
  <si>
    <t>KONAÇOĞLU MARKET-HARUN KONAÇOĞLU</t>
  </si>
  <si>
    <t>5452418960</t>
  </si>
  <si>
    <t>ÇAY MAH ÇUBUKÇUOĞLU CD. 62 ÇARSAMBA SAMSUN</t>
  </si>
  <si>
    <t>866250</t>
  </si>
  <si>
    <t>ACK KESKİN MARKET-KEMAL KESKİN</t>
  </si>
  <si>
    <t>05306067420</t>
  </si>
  <si>
    <t>YENİ KÖSELİ MAH ORTA SK. 39 ÇARSAMBA SAMSUN</t>
  </si>
  <si>
    <t>866251</t>
  </si>
  <si>
    <t>PEK MİMARLIK MÜH. İNŞ.</t>
  </si>
  <si>
    <t>05454898320</t>
  </si>
  <si>
    <t>HÜRRİYET MAH ÇAMLIK CD 355 ÇARSAMBA SAMSUN</t>
  </si>
  <si>
    <t>866292</t>
  </si>
  <si>
    <t>ŞAFAK ŞAHİN ŞAHİN MARKET</t>
  </si>
  <si>
    <t>05413846598</t>
  </si>
  <si>
    <t>YENİDOĞAN MAH SULTAN SELİM CAD. NO:4/A TERME SAMSUN</t>
  </si>
  <si>
    <t>866501</t>
  </si>
  <si>
    <t>BAFRA GÜLAL GIDA FINDIK TARIM İNŞ. NAK. LTD. ŞTİ.</t>
  </si>
  <si>
    <t>05319304517</t>
  </si>
  <si>
    <t>İSHAKLI MAH LALE SK. 8 BAFRA SAMSUN</t>
  </si>
  <si>
    <t>866531</t>
  </si>
  <si>
    <t>PANORAMA MARKET MANAV-HANİFE YANIK</t>
  </si>
  <si>
    <t>05336628552</t>
  </si>
  <si>
    <t>ÇINARLIK MAH REFAİDDİN ŞAHİN SK. 35 ÜNYE ORDU</t>
  </si>
  <si>
    <t>866534</t>
  </si>
  <si>
    <t>YUNUS EMRE MARKET-ADEM UZUNALİOĞLU</t>
  </si>
  <si>
    <t>05369627820</t>
  </si>
  <si>
    <t>GÖKÇEÇAKMAK MAH MERKEZ SK. 1 ÇARSAMBA SAMSUN</t>
  </si>
  <si>
    <t>866542</t>
  </si>
  <si>
    <t>BOŞNAK MARKET-ATİLLA BAŞ</t>
  </si>
  <si>
    <t>05419498532</t>
  </si>
  <si>
    <t>DOĞANCA MAH MEHMET BOŞNAK BLV 79 BAFRA SAMSUN</t>
  </si>
  <si>
    <t>866573</t>
  </si>
  <si>
    <t>ÇON BAKKAL-VURAL ÇON</t>
  </si>
  <si>
    <t>05352495582</t>
  </si>
  <si>
    <t>ALİBEYLİ MAH 21. sk 14 ÇARSAMBA SAMSUN</t>
  </si>
  <si>
    <t>866577</t>
  </si>
  <si>
    <t>SELAHATTİN BULUT MARKET</t>
  </si>
  <si>
    <t>05062844664</t>
  </si>
  <si>
    <t>KÖŞK MAH RIHTIM SK. 3 GERZE SINOP</t>
  </si>
  <si>
    <t>866606</t>
  </si>
  <si>
    <t>GÖKMEN MARKET-RUKİYE HAYIR</t>
  </si>
  <si>
    <t>05066115590</t>
  </si>
  <si>
    <t>UZUNLU MAH MERKEZ SK 20 ÇARSAMBA SAMSUN</t>
  </si>
  <si>
    <t>866687</t>
  </si>
  <si>
    <t>SERKAN ÖKTEM ÖKTEM MARKET</t>
  </si>
  <si>
    <t>0535 028 1840</t>
  </si>
  <si>
    <t>KIŞLA MAH 952.SOKAK NO:3/15 ILKADIM SAMSUN</t>
  </si>
  <si>
    <t>866872</t>
  </si>
  <si>
    <t>BALCI GIDA PAZARLAMA TİC. SAN. LTD. ŞTİ.</t>
  </si>
  <si>
    <t>KIZILIRMAK MAH ALAÇAM CD. 127 BAFRA SAMSUN</t>
  </si>
  <si>
    <t>867628</t>
  </si>
  <si>
    <t>CELAL KURU KIŞLA MARKET-2</t>
  </si>
  <si>
    <t>05435080429</t>
  </si>
  <si>
    <t>KIŞLA MAH KAMBER SOK NO:13 ILKADIM SAMSUN</t>
  </si>
  <si>
    <t>867645</t>
  </si>
  <si>
    <t>METİN ALTUN ASEL GIDA</t>
  </si>
  <si>
    <t>05413947066</t>
  </si>
  <si>
    <t>HASTANE MAH FATİN RÜŞTÜ ZORLU CAD. NO:14/B ILKADIM SAMSUN</t>
  </si>
  <si>
    <t>867724</t>
  </si>
  <si>
    <t>SALİH MISIRLI GIDA AVM TİCARET LİMİTED ŞİRKETİ</t>
  </si>
  <si>
    <t>05307306555</t>
  </si>
  <si>
    <t>BAHŞİ MAH GAZİLER CAD. NO:18 LÂDIK SAMSUN</t>
  </si>
  <si>
    <t>867736</t>
  </si>
  <si>
    <t>EVRAN MARKET MUHAMMET EVRAN</t>
  </si>
  <si>
    <t>05393637579</t>
  </si>
  <si>
    <t>İKİYÜZ EVLER MAH 218. SOK. NO:1 CANIK SAMSUN</t>
  </si>
  <si>
    <t>868074</t>
  </si>
  <si>
    <t>DUYGU KISBET BERK GIDA 2</t>
  </si>
  <si>
    <t>05342622112</t>
  </si>
  <si>
    <t>BAYRAMCA MAH ŞEHİT CEMAL MUTLU SOK. NO:11/A ÜNYE ORDU</t>
  </si>
  <si>
    <t>868464</t>
  </si>
  <si>
    <t>CAVİT EVMEZ EVMEZ TİCARET</t>
  </si>
  <si>
    <t>05432066475</t>
  </si>
  <si>
    <t>YEŞİLIRMAK MAH SUNGURLU CAD. NO:66/D ÇARSAMBA SAMSUN</t>
  </si>
  <si>
    <t>868870</t>
  </si>
  <si>
    <t>HST CANLAR GIDA TOPLU YEMEK HİZMETLERİ LTD. ŞTİ</t>
  </si>
  <si>
    <t>05491825200</t>
  </si>
  <si>
    <t>ATATÜRK MAH ERGÜN SOK. NO:10/A ÜNYE ORDU</t>
  </si>
  <si>
    <t>868996</t>
  </si>
  <si>
    <t>ALİ ÇOBAN ÇOBANOĞLU MERKEZ BÜFE</t>
  </si>
  <si>
    <t>05323583077</t>
  </si>
  <si>
    <t>DEVECİK MAH KADİRLİ KÜME EVLERİ NO:1/G IKIZCE ORDU</t>
  </si>
  <si>
    <t>869008</t>
  </si>
  <si>
    <t>AHMET TÜRKMEN TÜRKMEN MİNİ MARKET</t>
  </si>
  <si>
    <t>05367481338</t>
  </si>
  <si>
    <t>DEVECİK MAH KADİRLİ KÜME EVLERİ NO:6/1 A IKIZCE ORDU</t>
  </si>
  <si>
    <t>869290</t>
  </si>
  <si>
    <t>AZİZ AYDIN AYDINLAR BAKKAL</t>
  </si>
  <si>
    <t>05352127037</t>
  </si>
  <si>
    <t>DEDEDAĞI MAH ESKİ OKUL SOK. NO:65/A BAFRA SAMSUN</t>
  </si>
  <si>
    <t>869662</t>
  </si>
  <si>
    <t>RBK YATIRIM TEKSTİL ANONİM ŞİRKETİ</t>
  </si>
  <si>
    <t>05058894486</t>
  </si>
  <si>
    <t>KİLLİK MAH 103. SOK. NO:14/1 ÜNYE ORDU</t>
  </si>
  <si>
    <t>869752</t>
  </si>
  <si>
    <t>CEMAL KELEŞ</t>
  </si>
  <si>
    <t>05375683618</t>
  </si>
  <si>
    <t>SUNGURLU MAH ŞHT. PLT. YZB. ÜMİT ÖZER SOK. NO:29/A ÇARSAMBA SAMSUN</t>
  </si>
  <si>
    <t>869924</t>
  </si>
  <si>
    <t>KEZBAN KOCA BAKKALİYE</t>
  </si>
  <si>
    <t>05055382857</t>
  </si>
  <si>
    <t>GÖZLÜGÖL MAH (KORUCUK KÖYÜ) 1 1 MERKEZ SINOP</t>
  </si>
  <si>
    <t>870263</t>
  </si>
  <si>
    <t>ATATÜRK ORTAOKULU KOOPERATİF KULÜBÜ</t>
  </si>
  <si>
    <t>05419740466</t>
  </si>
  <si>
    <t>Ilkögretim Kantini</t>
  </si>
  <si>
    <t>CUMHURİYET MAH 241. SOK NO:25 VEZIRKÖPRÜ SAMSUN</t>
  </si>
  <si>
    <t>870429</t>
  </si>
  <si>
    <t>HÜSEYİN DİRİL DİRİLİŞ MARKET MANAV</t>
  </si>
  <si>
    <t>05444079293</t>
  </si>
  <si>
    <t>KIŞLA MAH BALYA SOK. NO:7/1 ILKADIM SAMSUN</t>
  </si>
  <si>
    <t>870568</t>
  </si>
  <si>
    <t>ZEYNEP HAZAL BAŞTAN ÇİFTLİK PASTANESİ</t>
  </si>
  <si>
    <t>05464044930</t>
  </si>
  <si>
    <t>BAHŞİ MAH GAZİLER CAD. NO:8 LÂDIK SAMSUN</t>
  </si>
  <si>
    <t>870958</t>
  </si>
  <si>
    <t>AYSUN UZUN APRIL ORGANİZASYON</t>
  </si>
  <si>
    <t>KARADENİZ MAH ÜMRANİYE SOK. NO:22/9 ILKADIM SAMSUN</t>
  </si>
  <si>
    <t>871170</t>
  </si>
  <si>
    <t>GÜNDAY TURAN TOKİ MARKET</t>
  </si>
  <si>
    <t>05052384169</t>
  </si>
  <si>
    <t>İSHAKLI MAH YILDIZ SOK. NO:1 BAFRA SAMSUN</t>
  </si>
  <si>
    <t>871628</t>
  </si>
  <si>
    <t>CEMİLE SARAÇOĞLU</t>
  </si>
  <si>
    <t>05443127215</t>
  </si>
  <si>
    <t>ÇELTEK MAH MERKEZ 8. SOK. NO:52 VEZIRKÖPRÜ SAMSUN</t>
  </si>
  <si>
    <t>871651</t>
  </si>
  <si>
    <t>SAMED ALTUNEL</t>
  </si>
  <si>
    <t>05412567546</t>
  </si>
  <si>
    <t>ATATÜRK MAH SİNOP CAD. NO:63/A GERZE SINOP</t>
  </si>
  <si>
    <t>871688</t>
  </si>
  <si>
    <t>FERHAT ÜSTÜNDAĞ ÜSTÜNDAĞ MARKET GIDA</t>
  </si>
  <si>
    <t>05419294940</t>
  </si>
  <si>
    <t>KARŞIYAKA MAH ULUS SOK. NO:47 CANIK SAMSUN</t>
  </si>
  <si>
    <t>871740</t>
  </si>
  <si>
    <t>RECEP KALMIŞ TUĞRUL MARKET</t>
  </si>
  <si>
    <t>05457496098</t>
  </si>
  <si>
    <t>SOFULAR MAH MERKEZ SOK. NO:15 VEZIRKÖPRÜ SAMSUN</t>
  </si>
  <si>
    <t>872922</t>
  </si>
  <si>
    <t>ÜMSA YATIRIM A.Ş.</t>
  </si>
  <si>
    <t>KERİMBEY MAH ATATÜRK BLV. NO:260 TEKKEKÖY SAMSUN</t>
  </si>
  <si>
    <t>873143</t>
  </si>
  <si>
    <t>MUSTAFA GÜMÜŞOĞLU GÜMÜŞOĞLU TİCARET</t>
  </si>
  <si>
    <t>05339559472</t>
  </si>
  <si>
    <t>YAZLIKBELEN MAH ATATÜRK CAD. NO:85 AKKUS ORDU</t>
  </si>
  <si>
    <t>873144</t>
  </si>
  <si>
    <t>BASMACI KARDEŞLER ALTUN BASMACI</t>
  </si>
  <si>
    <t>05321318696</t>
  </si>
  <si>
    <t>ESENTEPE MAH İSTİKLAL CAD. NO:54 AKKUS ORDU</t>
  </si>
  <si>
    <t>873167</t>
  </si>
  <si>
    <t>KUBBE KURUMSAL YEMEK VE TEM. HİZM. SAN. TİC. LTD. ŞTİ</t>
  </si>
  <si>
    <t>05368264291</t>
  </si>
  <si>
    <t>OSMANİYE AKÇAAĞAÇ MAH (OSMANİYE KÖYÜ) OSMANİYE NO:1 MERKEZ SINOP</t>
  </si>
  <si>
    <t>874444</t>
  </si>
  <si>
    <t>ALİ OSMAN İŞCANLI BAKKAL</t>
  </si>
  <si>
    <t>05335134434</t>
  </si>
  <si>
    <t>TEPEÖREN MAH TEPEÖREN SOK. NO:38 VEZIRKÖPRÜ SAMSUN</t>
  </si>
  <si>
    <t>874870</t>
  </si>
  <si>
    <t>YUNUS ŞAHİN PAYCININ YERİ</t>
  </si>
  <si>
    <t>05466939887</t>
  </si>
  <si>
    <t>DEREKÖY MAH DENİZ SOK. NO:6 19MAYIS SAMSUN</t>
  </si>
  <si>
    <t>875161</t>
  </si>
  <si>
    <t>SOK A.S. (13472 SİNOP DEVLET HASTANESİ)</t>
  </si>
  <si>
    <t>_ KORUCUK MAH PETUNYA CAD. NO:107/A MERKEZ SINOP</t>
  </si>
  <si>
    <t>878185</t>
  </si>
  <si>
    <t>COSMOS CAFE</t>
  </si>
  <si>
    <t>05418372646</t>
  </si>
  <si>
    <t>GÜZELYALI MAH ADNAN MENDERES BLV. NO:65 ATAKUM SAMSUN</t>
  </si>
  <si>
    <t>878765</t>
  </si>
  <si>
    <t>HAVZA İMAM HATİP ORTAOKULU OKUL KOOPERATİFİ</t>
  </si>
  <si>
    <t>05424972515</t>
  </si>
  <si>
    <t>İCADİYE MAH BAĞ SOK. NO:100 HAVZA SAMSUN</t>
  </si>
  <si>
    <t>878767</t>
  </si>
  <si>
    <t>ZEKİ CEVHER İLKOKULU KOOPERATİFİ</t>
  </si>
  <si>
    <t>05449464914</t>
  </si>
  <si>
    <t>YENİ MAH 508. SOK NO:2 HAVZA SAMSUN</t>
  </si>
  <si>
    <t>879410</t>
  </si>
  <si>
    <t>LAZ BAKKAL - 1</t>
  </si>
  <si>
    <t>05324146189</t>
  </si>
  <si>
    <t>KÖRFEZ MAH ATATÜRK 5. KISIM BLV. NO:42/A ATAKUM SAMSUN</t>
  </si>
  <si>
    <t>879411</t>
  </si>
  <si>
    <t>LAZ BAKKAL - 2</t>
  </si>
  <si>
    <t>İSTİKLAL MAH RECEP TAYYİP ERDOĞAN BLV. NO:77/A ATAKUM SAMSUN</t>
  </si>
  <si>
    <t>879484</t>
  </si>
  <si>
    <t>AVRUPA YAKASI AKARYAKIT NAK.GIDA TEKS.TİC.LTD.ŞTİ</t>
  </si>
  <si>
    <t>05547486704</t>
  </si>
  <si>
    <t>KİRAZLIK MAH ATATÜRK BLV. NO:97/1 TEKKEKÖY SAMSUN</t>
  </si>
  <si>
    <t>880220</t>
  </si>
  <si>
    <t>BTT FRC 8633 BULUTAY MARKET (SEÇ)</t>
  </si>
  <si>
    <t>880246</t>
  </si>
  <si>
    <t>ÖMER AKTAŞ EKOMİNİN MARKET</t>
  </si>
  <si>
    <t>05439781464</t>
  </si>
  <si>
    <t>GÖLEVİ MAH ÇÖREMEZ SOK. NO:26/A ÜNYE ORDU</t>
  </si>
  <si>
    <t>880551</t>
  </si>
  <si>
    <t>YUSUF DURMAZ SAKLI CENNET KÖFTE SALONU</t>
  </si>
  <si>
    <t>ORHANGAZİ MAH BAYRAK SOK. NO:1 AYVACIK SAMSUN</t>
  </si>
  <si>
    <t>880970</t>
  </si>
  <si>
    <t>İRFAN ÇARKACI ÇARKACI AVM</t>
  </si>
  <si>
    <t>05449709090</t>
  </si>
  <si>
    <t>FEVZİ ÇAKMAK MAH FEVZİ ÇAKMAK CAD. NO:300/A ÜNYE ORDU</t>
  </si>
  <si>
    <t>880971</t>
  </si>
  <si>
    <t>FATİH MEYDAN</t>
  </si>
  <si>
    <t>05522443227</t>
  </si>
  <si>
    <t>FATİH MAH YENİOKUL SOK NO:7 ÜNYE ORDU</t>
  </si>
  <si>
    <t>881025</t>
  </si>
  <si>
    <t>FERHAT FIRAT</t>
  </si>
  <si>
    <t>05534780097</t>
  </si>
  <si>
    <t>KADİFEKALE MAH 30 AĞUSTOS CAD. NO:164 ILKADIM SAMSUN</t>
  </si>
  <si>
    <t>881069</t>
  </si>
  <si>
    <t>RIDVAN ÇELİKEL</t>
  </si>
  <si>
    <t>05551234567</t>
  </si>
  <si>
    <t>YAŞAR DOĞU MAH ŞERİF KARAGÖZ NO:1 KAVAK SAMSUN</t>
  </si>
  <si>
    <t>881086</t>
  </si>
  <si>
    <t>ÖMER KÖHSERLİ</t>
  </si>
  <si>
    <t>05462275353</t>
  </si>
  <si>
    <t>BELEDİYE EVLERİ MAH KUVAYİ MİLLİYE SOK. NO:10 CANIK SAMSUN</t>
  </si>
  <si>
    <t>881153</t>
  </si>
  <si>
    <t>CÜNEYT ALTUNEL ALTUNEL KIRTASİYE</t>
  </si>
  <si>
    <t>05456294757</t>
  </si>
  <si>
    <t>ATATÜRK MAH 75. YIL CADDESİ NO:7 GERZE SINOP</t>
  </si>
  <si>
    <t>881157</t>
  </si>
  <si>
    <t>FİKRET AKGÜL AKGÜL MARKET</t>
  </si>
  <si>
    <t>05412025713</t>
  </si>
  <si>
    <t>ADALET MAH HAMDİ DANİŞMENT SOK NO:11 ILKADIM SAMSUN</t>
  </si>
  <si>
    <t>881180</t>
  </si>
  <si>
    <t>DURSUN SULUBEY</t>
  </si>
  <si>
    <t>05466628161</t>
  </si>
  <si>
    <t>BAHŞİ MAH REYHAN CAD. NO:31 LÂDIK SAMSUN</t>
  </si>
  <si>
    <t>881253</t>
  </si>
  <si>
    <t>HAMİT AKSAKAL</t>
  </si>
  <si>
    <t>05547954733</t>
  </si>
  <si>
    <t>HIDIRLIK MAH MESUT ULUÇAY CAD. NO:1 VEZIRKÖPRÜ SAMSUN</t>
  </si>
  <si>
    <t>881327</t>
  </si>
  <si>
    <t>GÜLSÜM BEKGÖZ</t>
  </si>
  <si>
    <t>05354496002</t>
  </si>
  <si>
    <t>CUMHURİYET MAH 2770. SOKAK NO:14 TEKKEKÖY SAMSUN</t>
  </si>
  <si>
    <t>881523</t>
  </si>
  <si>
    <t>EĞİTEN ÖZEL EĞİTİM VE ÖĞRETİM KURUMLARI TİC. LTD. ŞTİ</t>
  </si>
  <si>
    <t>05413851955</t>
  </si>
  <si>
    <t>ÇAY MAH MUSTAFA KEMAL GÜNEŞDOĞDU CAD. NO:19 ÇARSAMBA SAMSUN</t>
  </si>
  <si>
    <t>881526</t>
  </si>
  <si>
    <t>TUGAY BEKGÖZ</t>
  </si>
  <si>
    <t>05426847142</t>
  </si>
  <si>
    <t>KEMALPAŞA MAH COŞKUN GEÇİDİ NO:22 BAFRA SAMSUN</t>
  </si>
  <si>
    <t>881528</t>
  </si>
  <si>
    <t>GÖKÇEÇAKMAK İLKOKULU</t>
  </si>
  <si>
    <t>05469377020</t>
  </si>
  <si>
    <t>GÖKÇEÇAKMAK MAH MERKEZ SOK NO:1 ÇARSAMBA SAMSUN</t>
  </si>
  <si>
    <t>881533</t>
  </si>
  <si>
    <t>AYTAŞ YEMEK - 2</t>
  </si>
  <si>
    <t>KÖRFEZ MAH İNÖNÜ BLV. NO:6 ATAKUM SAMSUN</t>
  </si>
  <si>
    <t>901987</t>
  </si>
  <si>
    <t>İSMAİL YANAR</t>
  </si>
  <si>
    <t>05057739204</t>
  </si>
  <si>
    <t>YAŞAR DOĞU MAH RIDVAN ÇELİKEL CAD. NO:1 KAVAK SAMSUN</t>
  </si>
  <si>
    <t>902036</t>
  </si>
  <si>
    <t>ÖMER DURGUN</t>
  </si>
  <si>
    <t>05432211970</t>
  </si>
  <si>
    <t>YÜCELER MAH ORTA SOKAK NO:50 ÜNYE ORDU</t>
  </si>
  <si>
    <t>902131</t>
  </si>
  <si>
    <t>AKİF BAYIR</t>
  </si>
  <si>
    <t>05532269816</t>
  </si>
  <si>
    <t>SARAYKÖY MAH MERKEZ SOK. NO:1 TERME SAMSUN</t>
  </si>
  <si>
    <t>902132</t>
  </si>
  <si>
    <t>GÖKHAN SOYLU</t>
  </si>
  <si>
    <t>05458115255</t>
  </si>
  <si>
    <t>TOPTEPE MAH DOKUZPINAR SOK. NO:5 CANIK SAMSUN</t>
  </si>
  <si>
    <t>902216</t>
  </si>
  <si>
    <t>EMİN KAHRAMANOĞLU</t>
  </si>
  <si>
    <t>05383102336</t>
  </si>
  <si>
    <t>BEREKET MAH ŞEHİT ORHAN ERDOĞAN CAD. NO:27 SALIPAZARI SAMSUN</t>
  </si>
  <si>
    <t>902223</t>
  </si>
  <si>
    <t>BTT FRC 8853 YİĞİT MARKET (SEÇ)</t>
  </si>
  <si>
    <t>KOZLUK MAH CUMHURİYET MEYDANI NO:4B TERME SAMSUN</t>
  </si>
  <si>
    <t>902318</t>
  </si>
  <si>
    <t>ÜÇEL AYDIN GIDA OTOMOTİV TURİZM İNŞAAT PROD. FİLM A.Ş.</t>
  </si>
  <si>
    <t>05421006155</t>
  </si>
  <si>
    <t>TOYBELEN MAH 1805. CAD. NO:6 ILKADIM SAMSUN</t>
  </si>
  <si>
    <t>902351</t>
  </si>
  <si>
    <t>AKIN GÖZDE GIDA TİC LTD. ŞTİ.</t>
  </si>
  <si>
    <t>05326752655</t>
  </si>
  <si>
    <t>19 MAYIS MAH AĞABALİ CAD. NO:19 ILKADIM SAMSUN</t>
  </si>
  <si>
    <t>902577</t>
  </si>
  <si>
    <t>AHMET MOLLAOĞLU</t>
  </si>
  <si>
    <t>05384025037</t>
  </si>
  <si>
    <t>ADALET MAH ASLANTÜRK CAD. NO:5 ILKADIM SAMSUN</t>
  </si>
  <si>
    <t>902754</t>
  </si>
  <si>
    <t>ÜNAL YOLERİ</t>
  </si>
  <si>
    <t>05077391429</t>
  </si>
  <si>
    <t>LİSELER MAH SANTRAL SOK. NO: ÜNYE ORDU</t>
  </si>
  <si>
    <t>902779</t>
  </si>
  <si>
    <t>MEHMET ŞANLAN</t>
  </si>
  <si>
    <t>05444701057</t>
  </si>
  <si>
    <t>_ ORDU KÖYÜ NO:3 MERKEZ SINOP</t>
  </si>
  <si>
    <t>903069</t>
  </si>
  <si>
    <t>BİROL ARTAR</t>
  </si>
  <si>
    <t>03622381045</t>
  </si>
  <si>
    <t>KARŞIYAKA MAH 315. SOK NO:45 CANIK SAMSUN</t>
  </si>
  <si>
    <t>903073</t>
  </si>
  <si>
    <t>AYŞE DEMİR</t>
  </si>
  <si>
    <t>05449408845</t>
  </si>
  <si>
    <t>KÖRFEZ MAH 5075. SOK NO:3 ATAKUM SAMSUN</t>
  </si>
  <si>
    <t>903250</t>
  </si>
  <si>
    <t>VAHDETTİN AKBAŞ</t>
  </si>
  <si>
    <t>05314632952</t>
  </si>
  <si>
    <t>EMİREFENDİ MAH ŞHT. JAN. ER RAMİZ İLERİ CAD. NO:16 BAFRA SAMSUN</t>
  </si>
  <si>
    <t>903253</t>
  </si>
  <si>
    <t>ÇATANLAR TİCARET ADİ ORTAKLIĞI</t>
  </si>
  <si>
    <t>05468933943</t>
  </si>
  <si>
    <t>HACINABİ MAH HACI AHMET SOK. NO:72 BAFRA SAMSUN</t>
  </si>
  <si>
    <t>903311</t>
  </si>
  <si>
    <t>SOK A.S. (13732 HAVZA IRMAKSIRTI)</t>
  </si>
  <si>
    <t>DEĞİRMENÜSTÜ MAH HİLMİ CUMALI CAD. NO:34/A HAVZA SAMSUN</t>
  </si>
  <si>
    <t>903312</t>
  </si>
  <si>
    <t>SOK A.S. (13731 BALAÇ ATAKUM)</t>
  </si>
  <si>
    <t>BEYPINAR MAH RECEP TAYYİP ERDOĞAN BULV. NO:195 ATAKUM SAMSUN</t>
  </si>
  <si>
    <t>903348</t>
  </si>
  <si>
    <t>ERDİNÇ GÜL</t>
  </si>
  <si>
    <t>05466313311</t>
  </si>
  <si>
    <t>FATİH MAH GEYİKKOŞAN CAD. NO:1 ALAÇAM SAMSUN</t>
  </si>
  <si>
    <t>903692</t>
  </si>
  <si>
    <t>YAVAŞBEY İLKÖĞRETİM OKUL KOOPERATİFİ</t>
  </si>
  <si>
    <t>05337659704</t>
  </si>
  <si>
    <t>YAVAŞBEY MAH . . SALIPAZARI SAMSUN</t>
  </si>
  <si>
    <t>903954</t>
  </si>
  <si>
    <t>DURSUN KORKMAZ İLKOKULU-ORTAOKULU OKUL AİLE BİRLİĞİ</t>
  </si>
  <si>
    <t>KARAOĞLAN MAH 586. SOK NO:2 TEKKEKÖY SAMSUN</t>
  </si>
  <si>
    <t>904377</t>
  </si>
  <si>
    <t>BAYINDIR İLKOKULU HANIM KARAKAŞ</t>
  </si>
  <si>
    <t>05522900688</t>
  </si>
  <si>
    <t>CUMHURIYET MAH 93. SOKAK NO:8 ATAKUM SAMSUN</t>
  </si>
  <si>
    <t>904483</t>
  </si>
  <si>
    <t>DANIŞMAZLAR GIDA</t>
  </si>
  <si>
    <t>05442078912</t>
  </si>
  <si>
    <t>YENİMAHALLE MAH TEKNEPINAR YOLU NO:105 CANIK SAMSUN</t>
  </si>
  <si>
    <t>904735</t>
  </si>
  <si>
    <t>YAŞARDOĞU İLKOKULU OKUL KOOPERATİFİ</t>
  </si>
  <si>
    <t>YAŞAR DOĞU MAH RIDVAN ÇELİKERL CAD NO:1 KAVAK SAMSUN</t>
  </si>
  <si>
    <t>905099</t>
  </si>
  <si>
    <t>SOK A.S. (13754 ATAKUM AKSU)</t>
  </si>
  <si>
    <t>KÖRFEZ MAH KAZIM KAZABEKİR CD. NO:46-A ATAKUM SAMSUN</t>
  </si>
  <si>
    <t>905753</t>
  </si>
  <si>
    <t>MİYASE BOZKURT KANTİN</t>
  </si>
  <si>
    <t>05550086255</t>
  </si>
  <si>
    <t>KALKANCI MAH İNCİÇEÇEĞİ SOK. NO:261 ILKADIM SAMSUN</t>
  </si>
  <si>
    <t>905940</t>
  </si>
  <si>
    <t>KAMİLE TÜRK TÜRKOĞLU MARKET</t>
  </si>
  <si>
    <t>05453537755</t>
  </si>
  <si>
    <t>KABACEVİZ MAH YENİ SOK. NO:14 ÇARSAMBA SAMSUN</t>
  </si>
  <si>
    <t>906061</t>
  </si>
  <si>
    <t>TEKKEKÖY İMAR İNŞAAT HAYVANCILIK TARIM SAN. TİC. LTD. ŞTİ (SEVGİ TEKKESİ)</t>
  </si>
  <si>
    <t>05412665503</t>
  </si>
  <si>
    <t>İSTİKLAL MAH 23 NİSAN CAD. NO:52 TEKKEKÖY SAMSUN</t>
  </si>
  <si>
    <t>906303</t>
  </si>
  <si>
    <t>GROSS 57 MARKETLERİ SANAYİ VE DIŞ TİCARET LİMİTED ŞİRKETİ</t>
  </si>
  <si>
    <t>CUMHURİYET MAH SAMSUN CAD. NO:14/A GERZE SINOP</t>
  </si>
  <si>
    <t>906458</t>
  </si>
  <si>
    <t>TANJU AYDIN TAFLAN YALI İLKOKULU</t>
  </si>
  <si>
    <t>_ . . ATAKUM SAMSUN</t>
  </si>
  <si>
    <t>906459</t>
  </si>
  <si>
    <t>FATİH ZAHİT YUSUF YÜCEL IHLAMUR PARK</t>
  </si>
  <si>
    <t>05535382025</t>
  </si>
  <si>
    <t>19 MAYIS MAH ATATÜRK BLV. NO:55/1 TEKKEKÖY SAMSUN</t>
  </si>
  <si>
    <t>906828</t>
  </si>
  <si>
    <t>AOS TURİZM OTOMOTİV İNŞAAT TARIM İÇ VE DIŞ TİC.LTD.ŞTİ.</t>
  </si>
  <si>
    <t>05327396359</t>
  </si>
  <si>
    <t>ATATÜRK MAH ŞEHİT HÜSEYİN AKAR SOK. NO:18/1 ÜNYE ORDU</t>
  </si>
  <si>
    <t>906832</t>
  </si>
  <si>
    <t>ÖZEL SAMSUN AÇILIM EĞİTİM VE TUR.HİZ.SAN.TİC.LTD.ŞTİ.</t>
  </si>
  <si>
    <t>Dershane/Kurs Kantini</t>
  </si>
  <si>
    <t>MEVLANA MAH 794. SOK NO:22/A ATAKUM SAMSUN</t>
  </si>
  <si>
    <t>906847</t>
  </si>
  <si>
    <t>DEVGERİŞ MAH ÇEŞME SOK NO:21/1 CANIK SAMSUN</t>
  </si>
  <si>
    <t>906974</t>
  </si>
  <si>
    <t>ŞEHRİ BAHAR BAHMAR ALIŞVERİŞ MERKEZİ</t>
  </si>
  <si>
    <t>05533652781</t>
  </si>
  <si>
    <t>KALKANCI MAH MEHTAP CAD. NO:2/1 ILKADIM SAMSUN</t>
  </si>
  <si>
    <t>907124</t>
  </si>
  <si>
    <t>BTT FRC 9020 UĞUR PISIL 2 (SEÇ)</t>
  </si>
  <si>
    <t>YAŞARDOĞU MAH ŞHT. TUNCAY KARATAŞ BULV. NO:32/11 ILKADIM SAMSUN</t>
  </si>
  <si>
    <t>907318</t>
  </si>
  <si>
    <t>TAYBE AKARYAKIT ENERJİ VE TURİZM TİC. LTD. ŞTİ.</t>
  </si>
  <si>
    <t>05365604905</t>
  </si>
  <si>
    <t>ENGİZ MAH ATATÜRK BLV. NO:88 19MAYIS SAMSUN</t>
  </si>
  <si>
    <t>907941</t>
  </si>
  <si>
    <t>MUSA YÜKSEL YÜKSEL MARKET</t>
  </si>
  <si>
    <t>05444762325</t>
  </si>
  <si>
    <t>ELMALIK MAH SAMSUN CAD. NO:72/B TERME SAMSUN</t>
  </si>
  <si>
    <t>908002</t>
  </si>
  <si>
    <t>SOK A.S. (13798 DOĞANCA YOLU BAFRA)</t>
  </si>
  <si>
    <t>MEVLANA MAH BAKIRPINAR SK. NO:26 BAFRA SAMSUN</t>
  </si>
  <si>
    <t>908394</t>
  </si>
  <si>
    <t>FUAT SARIÇOBANOĞLU MARKET İŞLETMECİLİĞİ</t>
  </si>
  <si>
    <t>05359536127</t>
  </si>
  <si>
    <t>SALMAN MAH SALMAN CAD. NO:45/B AKKUS ORDU</t>
  </si>
  <si>
    <t>908462</t>
  </si>
  <si>
    <t>HAYRİYE KARACA</t>
  </si>
  <si>
    <t>YAVUZ SELİM MAH MERCİDABIK SOK. NO:17/1 CANIK SAMSUN</t>
  </si>
  <si>
    <t>908801</t>
  </si>
  <si>
    <t>HEKİMLER ÖZEL EĞİTİM A.Ş.</t>
  </si>
  <si>
    <t>MEVLANA MAH SERHAT CAD. NO:60 ATAKUM SAMSUN</t>
  </si>
  <si>
    <t>908809</t>
  </si>
  <si>
    <t>ZEKERİYA KARAPATLAK</t>
  </si>
  <si>
    <t>KARASAMSUN MAH DALAMAN SOK. NO:2/1 ILKADIM SAMSUN</t>
  </si>
  <si>
    <t>909259</t>
  </si>
  <si>
    <t>ÖZ GAZİANTEP LOKANTACILIK SAN VE TİC.LTD.ŞTİ</t>
  </si>
  <si>
    <t>BÜYÜKCAMİ MAH . . BAFRA SAMSUN</t>
  </si>
  <si>
    <t>909380</t>
  </si>
  <si>
    <t>ŞEHRİNAZ PARLAK BRAAVOS COFFE FACTORY</t>
  </si>
  <si>
    <t>DENİZEVLERİ MAH 222. SOK NO:8/A ATAKUM SAMSUN</t>
  </si>
  <si>
    <t>909461</t>
  </si>
  <si>
    <t>METİN YURT YURT GIDA</t>
  </si>
  <si>
    <t>05356336783</t>
  </si>
  <si>
    <t>ELMALIK MAH GÖLYAZI CAD. NO:7/C TERME SAMSUN</t>
  </si>
  <si>
    <t>909513</t>
  </si>
  <si>
    <t>AŞKIN BEŞLİOĞLU SAMSUN 55 RESTORANT SAM-TAT YEMEK</t>
  </si>
  <si>
    <t>03624655553</t>
  </si>
  <si>
    <t>TOYBELEN MAH 1172 CAD. NO:10/A ILKADIM SAMSUN</t>
  </si>
  <si>
    <t>909516</t>
  </si>
  <si>
    <t>İSA ACAR BAKKAL</t>
  </si>
  <si>
    <t>YÖRÜKLER MAH CUMHURİYET CAD. NO:143/E 19MAYIS SAMSUN</t>
  </si>
  <si>
    <t>909850</t>
  </si>
  <si>
    <t>SOK A.S. (13867 SAMSUN CANİK KÖY)</t>
  </si>
  <si>
    <t>HASKÖY MAH 349.SOKAK, NO:2/2-23 CANIK SAMSUN</t>
  </si>
  <si>
    <t>909851</t>
  </si>
  <si>
    <t>SOK A.S. (13868 SAMSUN İLKADIM TEPECİK)</t>
  </si>
  <si>
    <t>TEPECİK MAH GEBİ CADDESİ A BLOK NO.327 ILKADIM SAMSUN</t>
  </si>
  <si>
    <t>909852</t>
  </si>
  <si>
    <t>SOK A.S. (13866 SAMSUN ATAKUM GÜLER)</t>
  </si>
  <si>
    <t>CAMİİ MAH İNÖNÜ BULV. NO:2/A ATAKUM SAMSUN</t>
  </si>
  <si>
    <t>909985</t>
  </si>
  <si>
    <t>BAFRA ELİT GARDEN DAVET VE KIR BAHÇELERİ</t>
  </si>
  <si>
    <t>05355263055</t>
  </si>
  <si>
    <t>_ TOSKÖY NO:1 BAFRA SAMSUN</t>
  </si>
  <si>
    <t>910888</t>
  </si>
  <si>
    <t>MASİVA GRUP KURUMSAL HİZM.SAN.TİC.LTD.ŞTİ. POZİTİF GIDA YEM HAY İNŞ.İML.PAZ.SAN.TİC.LTD.ŞTİ. İŞ ORTAKLIĞI</t>
  </si>
  <si>
    <t>TOPÇUOĞLU MAH BANKA SOK NO:2 MERKEZ KASTAMONU</t>
  </si>
  <si>
    <t>KASTAMONU</t>
  </si>
  <si>
    <t>910939</t>
  </si>
  <si>
    <t>ONDOKUZ MAYIS ÜNİVERSİTESİ SAĞLIK KÜLTÜR VE SPOR DAİRE BAŞKANLIĞI TİCARİ İŞLETMESİ</t>
  </si>
  <si>
    <t>05321604555</t>
  </si>
  <si>
    <t>_ OMÜ YERLEŞKESİ 1 ATAKUM SAMSUN</t>
  </si>
  <si>
    <t>910994</t>
  </si>
  <si>
    <t>GÖKHAN DÜZENLİ DÜZENLİ MARKET</t>
  </si>
  <si>
    <t>05447474444</t>
  </si>
  <si>
    <t>YÖRÜKLER MAH KÖSELER CAD NO:1 19MAYIS SAMSUN</t>
  </si>
  <si>
    <t>911183</t>
  </si>
  <si>
    <t>BAFRA DAVET VE TOPLANTI MERKEZİ ORGANİZASYON HİZMETLERİ TİC. LTD. ŞTİ.</t>
  </si>
  <si>
    <t>05374061822</t>
  </si>
  <si>
    <t>TÜTÜNCÜLER MAH TÜTÜNCÜLER SOK. NO:145 BAFRA SAMSUN</t>
  </si>
  <si>
    <t>911229</t>
  </si>
  <si>
    <t>BTT FRC 8608 BEYZA NUR YILMAZ (SEÇ)</t>
  </si>
  <si>
    <t>19 MAYIS MAH 605 SOK NO:5/A TEKKEKÖY SAMSUN</t>
  </si>
  <si>
    <t>911449</t>
  </si>
  <si>
    <t>AYSUN ÖVELEK</t>
  </si>
  <si>
    <t>ÇAYLEYİK MAH BÜYÜKLÜ BLV. NO:284 TEKKEKÖY SAMSUN</t>
  </si>
  <si>
    <t>911710</t>
  </si>
  <si>
    <t>KARADENİZ TARIMSAL ARAŞTIRMA ENSTİTÜSÜ MÜDÜRLÜĞÜ (SOSYAL TES. MÜD.)</t>
  </si>
  <si>
    <t>ÇİFTLİK MAH ATATÜRK BLV. NO:313 TEKKEKÖY SAMSUN</t>
  </si>
  <si>
    <t>911775</t>
  </si>
  <si>
    <t>BANU SERHATERİ KUM BAHÇE DİZAYN</t>
  </si>
  <si>
    <t>MİMARSİNAN MAH ATATÜRK MAH. A BLOK NO: 232/A ATAKUM SAMSUN</t>
  </si>
  <si>
    <t>912113</t>
  </si>
  <si>
    <t>FİRDEVS CÖRE CÖRE BAKKAL</t>
  </si>
  <si>
    <t>ALANŞEYHİ MAH BÜYÜK SOK. NO:108/2 VEZIRKÖPRÜ SAMSUN</t>
  </si>
  <si>
    <t>912114</t>
  </si>
  <si>
    <t>AZEM GÜL HÜRRİYET NALBUR MARKET</t>
  </si>
  <si>
    <t>05309662955</t>
  </si>
  <si>
    <t>HÜRRİYET MAH PAPATYA SOK. NO:1 ÇARSAMBA SAMSUN</t>
  </si>
  <si>
    <t>912710</t>
  </si>
  <si>
    <t>HÜLYA SAĞLAM ATAKUM YÜKSELİŞ KOLEJİ</t>
  </si>
  <si>
    <t>ATATEPE MAH 3513. SOK NO:16 ATAKUM SAMSUN</t>
  </si>
  <si>
    <t>912883</t>
  </si>
  <si>
    <t>912902</t>
  </si>
  <si>
    <t>SELMA BAYRAKTAR BAYRAKTAR MARKET</t>
  </si>
  <si>
    <t>05326025079</t>
  </si>
  <si>
    <t>EĞERCİLİ MAH İSTİKLAL CAD. NO:11/A ÇARSAMBA SAMSUN</t>
  </si>
  <si>
    <t>913163</t>
  </si>
  <si>
    <t>SOK A.S. (13928 SİNOP KARAKUM)</t>
  </si>
  <si>
    <t>ZEYTİNLİK MAH YAKAMOZ CAD. NO:71AA/71BA MERKEZ SINOP</t>
  </si>
  <si>
    <t>913164</t>
  </si>
  <si>
    <t>SOK A.S. (13922 SAMSUN ATAKUM PAMUKLU BULVARI)</t>
  </si>
  <si>
    <t>KÖRFEZ MAH PAMUKLU CAD. NO:13D/13E ATAKUM SAMSUN</t>
  </si>
  <si>
    <t>913171</t>
  </si>
  <si>
    <t>BAFRA ELİT GARDEN DAVET VE KIR BAHÇELERİ2</t>
  </si>
  <si>
    <t>913566</t>
  </si>
  <si>
    <t>CENGİZ CEMALLIOĞLU BÜŞRA MARKET</t>
  </si>
  <si>
    <t>05468080451</t>
  </si>
  <si>
    <t>ÇATALARMUT MAH 195.SOK NO:15/1 ILKADIM SAMSUN</t>
  </si>
  <si>
    <t>914054</t>
  </si>
  <si>
    <t>TANER ÖZBAKIR</t>
  </si>
  <si>
    <t>YEŞİLDERE MAH 511. SOK NO:16 ATAKUM SAMSUN</t>
  </si>
  <si>
    <t>914120</t>
  </si>
  <si>
    <t>ALİ DONK</t>
  </si>
  <si>
    <t>05356604559</t>
  </si>
  <si>
    <t>KİRAZLIKÇAY MAH MUHSİN YAZICIOĞLU BLV. NO:22 ÇARSAMBA SAMSUN</t>
  </si>
  <si>
    <t>914138</t>
  </si>
  <si>
    <t>HÜSEYİN KAYA</t>
  </si>
  <si>
    <t>05446749277</t>
  </si>
  <si>
    <t>GAZİPAŞA MAH TÜRKOCAĞI CAD. NO:35 BAFRA SAMSUN</t>
  </si>
  <si>
    <t>914777</t>
  </si>
  <si>
    <t>KAAN BARAN KARTELEK</t>
  </si>
  <si>
    <t>YENİMAHALLE MAH BARBAROS CAD. NO:50/1 CANIK SAMSUN</t>
  </si>
  <si>
    <t>914778</t>
  </si>
  <si>
    <t>ABS GRUP GÖSTERİ SANATLARI EMLAK VE TEMİZLİK SAN.TİC.LTD.ŞTİ</t>
  </si>
  <si>
    <t>19 MAYIS MAH AĞABALİ CAD. NO:37/1 ILKADIM SAMSUN</t>
  </si>
  <si>
    <t>915408</t>
  </si>
  <si>
    <t>ATİK TURİSTİK SERVİS VE OTELCİLİK.</t>
  </si>
  <si>
    <t>05461820052</t>
  </si>
  <si>
    <t>ATATÜRK MAH DEVLET SAHILYOLU 1 ÜNYE ORDU</t>
  </si>
  <si>
    <t>915410</t>
  </si>
  <si>
    <t>HST CANLAR GIDA TOPLU YEMEK HİZMETLERİ LTD. ŞTİ.</t>
  </si>
  <si>
    <t>05327021674</t>
  </si>
  <si>
    <t>915872</t>
  </si>
  <si>
    <t>BAYRAM ALİ DENİZ DURAK MARKET</t>
  </si>
  <si>
    <t>05357936396</t>
  </si>
  <si>
    <t>ÇİLHANE MAH SİNOP BLV. NO:4/B BAFRA SAMSUN</t>
  </si>
  <si>
    <t>915912</t>
  </si>
  <si>
    <t>TİMUÇİN ÜLKER ÇAMLIK DÜĞÜN SALONU</t>
  </si>
  <si>
    <t>05418949491</t>
  </si>
  <si>
    <t>FATİH MAH DALAMAN SOK. NO:22 BAFRA SAMSUN</t>
  </si>
  <si>
    <t>916223</t>
  </si>
  <si>
    <t>SOK A.S. (13996 SAMSUN VEZİRKÖPRÜ BAHÇELİEVLER)</t>
  </si>
  <si>
    <t>BAHÇELİEVLER MAH MUSTAFA GÜRAL CAD. NO:25/1-2 VEZIRKÖPRÜ SAMSUN</t>
  </si>
  <si>
    <t>917203</t>
  </si>
  <si>
    <t>SOK A.S. (14029 SAMSUN ATAKUM TOPLU KONUT BULVARI)</t>
  </si>
  <si>
    <t>BÜYÜKOYUMCA MAH TOPLU KONUT BULV. N0:134 A/B ATAKUM SAMSUN</t>
  </si>
  <si>
    <t>917424</t>
  </si>
  <si>
    <t>AKS MİMARLIK MÜH. İNŞ. TUR. SAN. VE TİC. A.Ş.</t>
  </si>
  <si>
    <t>YENİMAHALLE MAH 3070 SOK. NO:36-38 ATAKUM SAMSUN</t>
  </si>
  <si>
    <t>918242</t>
  </si>
  <si>
    <t>SUZAN BİLGİN MEŞELİ MİNİ HAL</t>
  </si>
  <si>
    <t>05459053255</t>
  </si>
  <si>
    <t>TEPECİK MAH 1589. SOKAK NO:1/B ILKADIM SAMSUN</t>
  </si>
  <si>
    <t>918610</t>
  </si>
  <si>
    <t>ÖZLEM TURSUN MERTHAN GIDA</t>
  </si>
  <si>
    <t>YAŞARDOĞU MAH KAYHAN SOK. NO:34/A ILKADIM SAMSUN</t>
  </si>
  <si>
    <t>918807</t>
  </si>
  <si>
    <t>YAZICI PLUS GIDA NAKLİYAT TİC. LTD. ŞTİ</t>
  </si>
  <si>
    <t>05461955055</t>
  </si>
  <si>
    <t>HASKÖY MAH ÜSKÜP CAD. NO:41/1 CANIK SAMSUN</t>
  </si>
  <si>
    <t>918854</t>
  </si>
  <si>
    <t>ERDİNÇ ATAMAN</t>
  </si>
  <si>
    <t>05358212616</t>
  </si>
  <si>
    <t>HACINABİ MAH TÜTÜN MAĞZALARI 5. SOKAK NO:17/A BAFRA SAMSUN</t>
  </si>
  <si>
    <t>918974</t>
  </si>
  <si>
    <t>BAYRAM ÖNDER EFE CAN MARKET</t>
  </si>
  <si>
    <t>05417115122</t>
  </si>
  <si>
    <t>FEVZİ ÇAKMAK MAH YASEMİN SOKAK NO:26/A BAFRA SAMSUN</t>
  </si>
  <si>
    <t>919011</t>
  </si>
  <si>
    <t>MÜJGAN KESİM ELYA BALO SALONU</t>
  </si>
  <si>
    <t>05394490939</t>
  </si>
  <si>
    <t>KIZILIRMAK MAH YAŞARDOĞU CAD. NO:11/B BAFRA SAMSUN</t>
  </si>
  <si>
    <t>919084</t>
  </si>
  <si>
    <t>ESRA TANRIVER ASAF MARKET</t>
  </si>
  <si>
    <t>05394564647</t>
  </si>
  <si>
    <t>YAĞMURCA MAH MERKEZ 7. SOK. NO:1 BAFRA SAMSUN</t>
  </si>
  <si>
    <t>919137</t>
  </si>
  <si>
    <t>SUAT ŞENKUL SU-MAR MARKET</t>
  </si>
  <si>
    <t>05425758090</t>
  </si>
  <si>
    <t>MEVLANA MAH MUHTAR KADİR ŞAHİN CAD. NO:14/A BAFRA SAMSUN</t>
  </si>
  <si>
    <t>919258</t>
  </si>
  <si>
    <t>ALİ İHSAN KÖKSAL KÖKSAL MARKET</t>
  </si>
  <si>
    <t>05462622502</t>
  </si>
  <si>
    <t>YALI MAH 8067 SOKAK NO:2/1 ATAKUM SAMSUN</t>
  </si>
  <si>
    <t>919279</t>
  </si>
  <si>
    <t>OĞUZHAN FELEK FELEKOĞLU BAKKALİYESİ</t>
  </si>
  <si>
    <t>05432118525</t>
  </si>
  <si>
    <t>HAMİDİYE MAH SARRAFBAHÇE SOK. NO:1 ÜNYE ORDU</t>
  </si>
  <si>
    <t>919308</t>
  </si>
  <si>
    <t>HACER BALCI ŞAH DONDURMA</t>
  </si>
  <si>
    <t>05423248533</t>
  </si>
  <si>
    <t>KALEDERE MAH HÜKÜMET CAD. NO:1 ÜNYE ORDU</t>
  </si>
  <si>
    <t>919309</t>
  </si>
  <si>
    <t>MEHMET KÖSE KOÇ MARKET</t>
  </si>
  <si>
    <t>05379108087</t>
  </si>
  <si>
    <t>ATATÜRK MAH ÇAMBAŞI CAD. NO:51/C ÜNYE ORDU</t>
  </si>
  <si>
    <t>919310</t>
  </si>
  <si>
    <t>BEHRAM TAMTÜRK EKOMİNİ MARKET</t>
  </si>
  <si>
    <t>05301275261</t>
  </si>
  <si>
    <t>ATATÜRK MAH ÇAMBAŞI CAD. NO:63 ÜNYE ORDU</t>
  </si>
  <si>
    <t>919597</t>
  </si>
  <si>
    <t>CEMAL GÜLEÇ GÜLEÇ MARKET AVM</t>
  </si>
  <si>
    <t>05396422815</t>
  </si>
  <si>
    <t>İLKÜVEZ MAH ERBAA CAD. NO:10 ÇAYBASI ORDU</t>
  </si>
  <si>
    <t>ÇAYBASI</t>
  </si>
  <si>
    <t>919635</t>
  </si>
  <si>
    <t>HASYILMAZLAR PET. ÜRN. İNŞ. NAK. TUR. GID. PAZ. SAN. TİC. LTD. ŞTİ.</t>
  </si>
  <si>
    <t>05422462845</t>
  </si>
  <si>
    <t>FATİH MAH KUMRU CAD. NO:89/A ÜNYE ORDU</t>
  </si>
  <si>
    <t>919993</t>
  </si>
  <si>
    <t>SALİH BAYRAKTAR BAYRAKTAR MARKET</t>
  </si>
  <si>
    <t>919999</t>
  </si>
  <si>
    <t>DUDU TAŞYÜREK TAŞYÜREK MARKET MANAV</t>
  </si>
  <si>
    <t>05385931206</t>
  </si>
  <si>
    <t>DİKBIYIK MAH LİSE CAD. NO:12/A ÇARSAMBA SAMSUN</t>
  </si>
  <si>
    <t>920048</t>
  </si>
  <si>
    <t>YAŞAR EMİN KEPÇE HACI YAŞAR MARKET</t>
  </si>
  <si>
    <t>05426258334</t>
  </si>
  <si>
    <t>YAVUZ SELİM MAH GÖÇMEN SOK. NO:2 CANIK SAMSUN</t>
  </si>
  <si>
    <t>920291</t>
  </si>
  <si>
    <t>İLHAN BİNEN YONCAM MARKET</t>
  </si>
  <si>
    <t>ORTA YILMAZLAR MAH CİNOĞLU SOK. NO:39/A ÜNYE ORDU</t>
  </si>
  <si>
    <t>920898</t>
  </si>
  <si>
    <t>ONUR BAKAN ONUR ŞARKÜTERİ VE TAVUKÇULUK</t>
  </si>
  <si>
    <t>05427429662</t>
  </si>
  <si>
    <t>KEFEVİ MAH DERVİŞ SARABİL CAD. NO:12/A MERKEZ SINOP</t>
  </si>
  <si>
    <t>920910</t>
  </si>
  <si>
    <t>ELİF ÖZDEMİR TAHA KURUYEMİŞ VE BAHARAT</t>
  </si>
  <si>
    <t>05414205478</t>
  </si>
  <si>
    <t>DİKBIYIK MAH BAHÇELİEVLER MAH. ATATÜRK BLV. NO:41/B ÇARSAMBA SAMSUN</t>
  </si>
  <si>
    <t>920972</t>
  </si>
  <si>
    <t>FATİH KIZILASLAN FATİH MARKET</t>
  </si>
  <si>
    <t>05377958774</t>
  </si>
  <si>
    <t>ÇALTI MAH MERKEZ SOK. NO:3/1A ÇARSAMBA SAMSUN</t>
  </si>
  <si>
    <t>921099</t>
  </si>
  <si>
    <t>HÜSEYİN TÜTÜNCÜ TÜTÜNCÜ TİCARET</t>
  </si>
  <si>
    <t>05330384655</t>
  </si>
  <si>
    <t>GÜLÖREN MAH MERKEZ SOK. NO:21/A ÇARSAMBA SAMSUN</t>
  </si>
  <si>
    <t>921136</t>
  </si>
  <si>
    <t>OSMANLI SARAYI GIDA SAN. VE TİC. LTD. ŞTİ.</t>
  </si>
  <si>
    <t>05456444474</t>
  </si>
  <si>
    <t>KÖRFEZ MAH YURT SOK. NO:10 ATAKUM SAMSUN</t>
  </si>
  <si>
    <t>921374</t>
  </si>
  <si>
    <t>KADRİYE BİLGİN BİLGİN TAVUK ŞARKÜTERİ</t>
  </si>
  <si>
    <t>05331369080</t>
  </si>
  <si>
    <t>KARŞIYAKA MAH CENGİZ TOPEL CAD. NO:40/2 CANIK SAMSUN</t>
  </si>
  <si>
    <t>921653</t>
  </si>
  <si>
    <t>BURAK ŞENEL BÜYÜKPARK</t>
  </si>
  <si>
    <t>05436676726</t>
  </si>
  <si>
    <t>GAZİPAŞA MAH TÜRKOCAĞI CAD. NO:7 BAFRA SAMSUN</t>
  </si>
  <si>
    <t>921654</t>
  </si>
  <si>
    <t>921754</t>
  </si>
  <si>
    <t>922125</t>
  </si>
  <si>
    <t>ORSAM GIDA PAZARLAMA TUR.İNŞ.TEKS.SAN.VE TİC.LTD.ŞTİ.</t>
  </si>
  <si>
    <t>05384567777</t>
  </si>
  <si>
    <t>ŞABANOĞLUOSB MAH 51. SOK. NO:15 TEKKEKÖY SAMSUN</t>
  </si>
  <si>
    <t>922373</t>
  </si>
  <si>
    <t>ELİF ESKİÇIRAK</t>
  </si>
  <si>
    <t>05455040555</t>
  </si>
  <si>
    <t>SAİTBEY MAH KULACA CAD. NO:10/2 ILKADIM SAMSUN</t>
  </si>
  <si>
    <t>922471</t>
  </si>
  <si>
    <t>FERHAT ÖZBAY</t>
  </si>
  <si>
    <t>05427116498</t>
  </si>
  <si>
    <t>BAYRAMCA MAH ŞHT. CEMAL MUTLU SOK. NO:11/A ÜNYE ORDU</t>
  </si>
  <si>
    <t>922476</t>
  </si>
  <si>
    <t>FATİH KUZU ÇINAR MARKET</t>
  </si>
  <si>
    <t>05345502955</t>
  </si>
  <si>
    <t>ATATÜRK MAH ABDULLAH DERİCİ CAD. NO:32/D VEZIRKÖPRÜ SAMSUN</t>
  </si>
  <si>
    <t>922526</t>
  </si>
  <si>
    <t>YASİN ŞEN</t>
  </si>
  <si>
    <t>05442162142</t>
  </si>
  <si>
    <t>YUKARI DONURLU MAH ŞHT. UZM. ÇVŞ. HASAN KAVUZ CAD. NO:1/A ÇARSAMBA SAMSUN</t>
  </si>
  <si>
    <t>922535</t>
  </si>
  <si>
    <t>MERT AKKUŞ - 1</t>
  </si>
  <si>
    <t>05531664677</t>
  </si>
  <si>
    <t>UMUT MAH 602. SOK NO:39/1 ÇARSAMBA SAMSUN</t>
  </si>
  <si>
    <t>922538</t>
  </si>
  <si>
    <t>MERT AKKUŞ - 2</t>
  </si>
  <si>
    <t>UMUT MAH 602. SOK. NO:39/1 ÇARSAMBA SAMSUN</t>
  </si>
  <si>
    <t>922962</t>
  </si>
  <si>
    <t>UĞUR USTAOĞLU UĞURLU GIDA</t>
  </si>
  <si>
    <t>05438785533</t>
  </si>
  <si>
    <t>ADALET MAH 100. YIL BLV. NO:248/1 ILKADIM SAMSUN</t>
  </si>
  <si>
    <t>922999</t>
  </si>
  <si>
    <t>SÜLEYMAN DURAN</t>
  </si>
  <si>
    <t>05334606728</t>
  </si>
  <si>
    <t>GÜLÖREN MAH MERKEZ SOK. NO:21 ÇARSAMBA SAMSUN</t>
  </si>
  <si>
    <t>923726</t>
  </si>
  <si>
    <t>KAZIM KELEŞ GÜLEN MARKET</t>
  </si>
  <si>
    <t>05355116353</t>
  </si>
  <si>
    <t>MERKEZ MAH HÜKÜMET CAD. NO:9/21 IKIZCE ORDU</t>
  </si>
  <si>
    <t>924273</t>
  </si>
  <si>
    <t>AYHAN YAZICI</t>
  </si>
  <si>
    <t>05337724608</t>
  </si>
  <si>
    <t>ÇAY MAH CEMİL ŞENSOY CAD. NO:11 ÇARSAMBA SAMSUN</t>
  </si>
  <si>
    <t>925085</t>
  </si>
  <si>
    <t>RECEP YARAR</t>
  </si>
  <si>
    <t>05435842573</t>
  </si>
  <si>
    <t>925277</t>
  </si>
  <si>
    <t>ÖZLEM SEVİM</t>
  </si>
  <si>
    <t>05360578379</t>
  </si>
  <si>
    <t>YENİMAHALLE MAH İSTİKLAL CAD. NO:8 ATAKUM SAMSUN</t>
  </si>
  <si>
    <t>925458</t>
  </si>
  <si>
    <t>SAMET AKYEL</t>
  </si>
  <si>
    <t>05426224644</t>
  </si>
  <si>
    <t>DURUSU MAH MERKEZ SOK. NO:104 ÇARSAMBA SAMSUN</t>
  </si>
  <si>
    <t>925623</t>
  </si>
  <si>
    <t>NURİ KARAYİĞİT</t>
  </si>
  <si>
    <t>05416956916</t>
  </si>
  <si>
    <t>SARAÇLI MAH ŞHT. DAVUT KARAŞİN SOK. NO:10 ÜNYE ORDU</t>
  </si>
  <si>
    <t>925785</t>
  </si>
  <si>
    <t>SOK A.S. (14073 KOCATEPE İLKADIM SAMSUN)</t>
  </si>
  <si>
    <t>CEDİT MAH ÇİMENLİ CAD. NO: 99/A-12 ILKADIM SAMSUN</t>
  </si>
  <si>
    <t>925946</t>
  </si>
  <si>
    <t>SULTAN VURAL</t>
  </si>
  <si>
    <t>05464288888</t>
  </si>
  <si>
    <t>FEVZİ ÇAKMAK MAH AZİZİYE CAD. NO:125 ILKADIM SAMSUN</t>
  </si>
  <si>
    <t>925950</t>
  </si>
  <si>
    <t>ORHAN KÖKÇÜ</t>
  </si>
  <si>
    <t>05367362549</t>
  </si>
  <si>
    <t>ORTA MAH BADEM SOK. NO:2/C ÇARSAMBA SAMSUN</t>
  </si>
  <si>
    <t>926100</t>
  </si>
  <si>
    <t>METİN SARI KARDEŞLER PASTA TATLI</t>
  </si>
  <si>
    <t>05382576272</t>
  </si>
  <si>
    <t>YEŞİLIRMAK MAH SUNGURLU CAD. NO:64 ÇARSAMBA SAMSUN</t>
  </si>
  <si>
    <t>926404</t>
  </si>
  <si>
    <t>ALAÇAM ÖĞRETMENEVİ VE A.S.O.MÜD.-2</t>
  </si>
  <si>
    <t>FATİH MAH GEYİKKOŞAN CAD. NO:185 ALAÇAM SAMSUN</t>
  </si>
  <si>
    <t>926560</t>
  </si>
  <si>
    <t>AYŞE GENÇLİ GENÇLİ MARKET</t>
  </si>
  <si>
    <t>05397328831</t>
  </si>
  <si>
    <t>_ HABİBFAKI SOK NO:160/2 VEZIRKÖPRÜ SAMSUN</t>
  </si>
  <si>
    <t>926561</t>
  </si>
  <si>
    <t>İBRAHİM TURGUTER</t>
  </si>
  <si>
    <t>MEVLANA MAH KOYUNCU SOK. NO:34/4 BAFRA SAMSUN</t>
  </si>
  <si>
    <t>926644</t>
  </si>
  <si>
    <t>GÖKHAN AKGÜN</t>
  </si>
  <si>
    <t>05061057998</t>
  </si>
  <si>
    <t>_ YENİMAHALLE MAH. 19. SOK NO:15/1 TEKKEKÖY SAMSUN</t>
  </si>
  <si>
    <t>926917</t>
  </si>
  <si>
    <t>SİN BEL TURİZM TİCARET LTD. ŞTİ. (YUVAM DÜĞÜN SALONU)</t>
  </si>
  <si>
    <t>05455081960</t>
  </si>
  <si>
    <t>GELİNCİK MAH ORDU CAD. NO:1 MERKEZ SINOP</t>
  </si>
  <si>
    <t>927197</t>
  </si>
  <si>
    <t>KOÇ-EK İNŞ. TAAH. İŞL. NAK. PLAS. MOB.</t>
  </si>
  <si>
    <t>05520633840</t>
  </si>
  <si>
    <t>MEVLANA MAH YUKARI BAKIRPINAR SOK. NO:22/A BAFRA SAMSUN</t>
  </si>
  <si>
    <t>927322</t>
  </si>
  <si>
    <t>ZEYNEP ÇELEBİ ÇELEBİ MİNİ MARKET</t>
  </si>
  <si>
    <t>05314727485</t>
  </si>
  <si>
    <t>MEMDUHİYE MAH SEYDİPINARI SOK. NO:4 HAVZA SAMSUN</t>
  </si>
  <si>
    <t>927325</t>
  </si>
  <si>
    <t>CEMAL KURT ILICA BAKKAL</t>
  </si>
  <si>
    <t>05368600736</t>
  </si>
  <si>
    <t>ILICA MAH İNÖNÜ CAD. NO:14 HAVZA SAMSUN</t>
  </si>
  <si>
    <t>927326</t>
  </si>
  <si>
    <t>RIOLOUNGE RESTORAN TURİZM SAN.TİC.LTD.ŞTİ</t>
  </si>
  <si>
    <t>05466874150</t>
  </si>
  <si>
    <t>GÜZELYALI MAH 3022. SOK. NO:23/A ATAKUM SAMSUN</t>
  </si>
  <si>
    <t>927602</t>
  </si>
  <si>
    <t>SEVAL TOPUZ</t>
  </si>
  <si>
    <t>05465511960</t>
  </si>
  <si>
    <t>SARICALI MAH 438.SOK. NO:10/1 ÇARSAMBA SAMSUN</t>
  </si>
  <si>
    <t>927603</t>
  </si>
  <si>
    <t>EROL BOLAT</t>
  </si>
  <si>
    <t>_ DEGIRMENBASI CAD. NO:192 ÇARSAMBA SAMSUN</t>
  </si>
  <si>
    <t>927604</t>
  </si>
  <si>
    <t>DUYGU BAYRAK</t>
  </si>
  <si>
    <t>05438964200</t>
  </si>
  <si>
    <t>_ ÇARŞAMBA NO:1 ÇARSAMBA SAMSUN</t>
  </si>
  <si>
    <t>927606</t>
  </si>
  <si>
    <t>BAYRAM AYDIN</t>
  </si>
  <si>
    <t>05454955555</t>
  </si>
  <si>
    <t>ORTA MAH HACIBEY BAYSAL SOK. NO:1 ÇARSAMBA SAMSUN</t>
  </si>
  <si>
    <t>927607</t>
  </si>
  <si>
    <t>SEMANUR DURAN</t>
  </si>
  <si>
    <t>05531362322</t>
  </si>
  <si>
    <t>BURUNUCU MAH ŞİFA SOK. NO:9 ÜNYE ORDU</t>
  </si>
  <si>
    <t>927608</t>
  </si>
  <si>
    <t>GÜLTEN YILMAZ</t>
  </si>
  <si>
    <t>05443241929</t>
  </si>
  <si>
    <t>FEVZİ ÇAKMAK MAH EĞİTİM SOK. NO:30 ÜNYE ORDU</t>
  </si>
  <si>
    <t>927783</t>
  </si>
  <si>
    <t>ŞENKALLAR TRABZON EKMEK SAN. TİC. LTD. ŞTİ.</t>
  </si>
  <si>
    <t>05448915591</t>
  </si>
  <si>
    <t>ÜNİVERSİTE MAH SAMSUN KARAYOLU CAD. NO:39/A HAVZA SAMSUN</t>
  </si>
  <si>
    <t>928018</t>
  </si>
  <si>
    <t>CARREFOUR SABANCI TİC.MRKZ.A.S. (7333 ZEHRA ŞENSİZ ZEHRA DEMİR MARKET FR)</t>
  </si>
  <si>
    <t>YENİMAHALLE MAH 3276 SOK NO:10 ATAKUM SAMSUN</t>
  </si>
  <si>
    <t>928055</t>
  </si>
  <si>
    <t>YUSUF GÖR REKLAM TANITIM HALKLA İLŞ. VE ORG.SAN.VE TİC.LTD.ŞTİ.</t>
  </si>
  <si>
    <t>05325504805</t>
  </si>
  <si>
    <t>İSTİKLAL MAH ALPARSLAN BULV. NO:108 ATAKUM SAMSUN</t>
  </si>
  <si>
    <t>928056</t>
  </si>
  <si>
    <t>ÖZNUR ÖZGÜN</t>
  </si>
  <si>
    <t>05442971055</t>
  </si>
  <si>
    <t>ALANLI MAH 3467. SOK. NO:3 ATAKUM SAMSUN</t>
  </si>
  <si>
    <t>928088</t>
  </si>
  <si>
    <t>HAKKI KÖROĞLU KÖROĞLU MARKET</t>
  </si>
  <si>
    <t>05444436179</t>
  </si>
  <si>
    <t>KIZILCAÖREN MAH KIZILCAÖREN SOK. NO:75 VEZIRKÖPRÜ SAMSUN</t>
  </si>
  <si>
    <t>928347</t>
  </si>
  <si>
    <t>MERYEM KOÇ SHOP 55 MİNİ MARKET</t>
  </si>
  <si>
    <t>05417970155</t>
  </si>
  <si>
    <t>CUMHURİYET MAH MENDERES CAD. NO:4/Z2 19MAYIS SAMSUN</t>
  </si>
  <si>
    <t>928348</t>
  </si>
  <si>
    <t>MÜNİRİYE KILIÇ NASİP TAVUKÇULUK</t>
  </si>
  <si>
    <t>05426919656</t>
  </si>
  <si>
    <t>ATATÜRK MAH ÇAMBAŞI CAD. NO:55/A ÜNYE ORDU</t>
  </si>
  <si>
    <t>928733</t>
  </si>
  <si>
    <t>KÜBRA ŞEKER</t>
  </si>
  <si>
    <t>05392560255</t>
  </si>
  <si>
    <t>SARIYURT MAH MERKEZ MAH. NO:17 TEKKEKÖY SAMSUN</t>
  </si>
  <si>
    <t>928841</t>
  </si>
  <si>
    <t>NECLA TANKAL</t>
  </si>
  <si>
    <t>05434226569</t>
  </si>
  <si>
    <t>CUMHURİYET MAH CUMHURİYET CAD NO:1 19MAYIS SAMSUN</t>
  </si>
  <si>
    <t>928847</t>
  </si>
  <si>
    <t>YAŞAR DURUR KILIÇARSLAN ORTAOKULU OKULU KANTİNİ İŞLETMECİLİĞİ</t>
  </si>
  <si>
    <t>05469090586</t>
  </si>
  <si>
    <t>KADİFEKALE MAH SEYHAN SOK. NO:78 ILKADIM SAMSUN</t>
  </si>
  <si>
    <t>928893</t>
  </si>
  <si>
    <t>NESİME AKKURT</t>
  </si>
  <si>
    <t>ORMANCIK MAH KUŞÇULAR SOK. NO:18/1 19MAYIS SAMSUN</t>
  </si>
  <si>
    <t>929013</t>
  </si>
  <si>
    <t>ÜMİT AYAN AKPINAR KASABI</t>
  </si>
  <si>
    <t>05546625571</t>
  </si>
  <si>
    <t>AKPINAR MAH . NO:1 AKKUS ORDU</t>
  </si>
  <si>
    <t>929014</t>
  </si>
  <si>
    <t>YUSUF DURAN</t>
  </si>
  <si>
    <t>05443267555</t>
  </si>
  <si>
    <t>_ CANLI KÖYÜ NO:1 ÇARSAMBA SAMSUN</t>
  </si>
  <si>
    <t>929397</t>
  </si>
  <si>
    <t>AZİME ÖZTÜRK MEHMETCİK ANADOLU İMAM HATİP ORTAOKULU KANTİNİ</t>
  </si>
  <si>
    <t>05419262732</t>
  </si>
  <si>
    <t>ANADOLU MAH HAVUZ SOK. NO:26/1 ILKADIM SAMSUN</t>
  </si>
  <si>
    <t>929399</t>
  </si>
  <si>
    <t>MALGIRLAR TARIM ÜRÜNLERİ GIDA OTO.İNŞ.İMAL.SAN.TİC.LTD.ŞTİ</t>
  </si>
  <si>
    <t>KOCAMANBAŞI MAH ÇATIYANI SOK. NO:17/A TERME SAMSUN</t>
  </si>
  <si>
    <t>929618</t>
  </si>
  <si>
    <t>GÜLHAN-YUSUF YÖN</t>
  </si>
  <si>
    <t>05428039481</t>
  </si>
  <si>
    <t>ALİBEYLİ MAH _ NO:1 ÇARSAMBA SAMSUN</t>
  </si>
  <si>
    <t>929651</t>
  </si>
  <si>
    <t>SOK A.S. (14092 REYHAN LADİK SAMSUN)</t>
  </si>
  <si>
    <t>BAHŞİ MAH REYHAN CAD. NO:4-ABC LÂDIK SAMSUN</t>
  </si>
  <si>
    <t>929755</t>
  </si>
  <si>
    <t>ÇARŞAMBA MEHMET AKİF ERSOY İLKOKULU ŞÜKRAN YİĞİT KANTİN İŞLETMECİSİ</t>
  </si>
  <si>
    <t>05338179537</t>
  </si>
  <si>
    <t>GAZİ MAH _ NO:1 ÇARSAMBA SAMSUN</t>
  </si>
  <si>
    <t>929756</t>
  </si>
  <si>
    <t>SERDAR ARSLAN SAMSUN VADİ MARKET</t>
  </si>
  <si>
    <t>05536497421</t>
  </si>
  <si>
    <t>KARASAMSUN MAH 280. SOK. NO:1/F ILKADIM SAMSUN</t>
  </si>
  <si>
    <t>929876</t>
  </si>
  <si>
    <t>AHMET ÖZEN ÖZEN MARKET</t>
  </si>
  <si>
    <t>05416827789</t>
  </si>
  <si>
    <t>DEREBAHÇE MAH ŞEHİT MUSTAFA ZIVALI BLV. NO:48/17 ILKADIM SAMSUN</t>
  </si>
  <si>
    <t>929877</t>
  </si>
  <si>
    <t>TEVFİK İLERİ</t>
  </si>
  <si>
    <t>05422727643</t>
  </si>
  <si>
    <t>CUMHURIYET MAH RECEP TAYYİP ERDOĞAN BLV. NO:1 ATAKUM SAMSUN</t>
  </si>
  <si>
    <t>929961</t>
  </si>
  <si>
    <t>TUĞRA PATISSERIE</t>
  </si>
  <si>
    <t>05422053952</t>
  </si>
  <si>
    <t>ÇINARLIK MAH MEHMETÇİK SOK. NO:16/A ÜNYE ORDU</t>
  </si>
  <si>
    <t>930070</t>
  </si>
  <si>
    <t>MUSTAFA KELEŞ DÖRTLER MARKET</t>
  </si>
  <si>
    <t>05321588467</t>
  </si>
  <si>
    <t>YENİDOĞAN MAH AKAGÜNDÜZ CAD. NO:21 ILKADIM SAMSUN</t>
  </si>
  <si>
    <t>930293</t>
  </si>
  <si>
    <t>ŞEHİT KADİR KARA ANADOLU İMAMHATİP LİSESİ</t>
  </si>
  <si>
    <t>05072124712</t>
  </si>
  <si>
    <t>ALPARSLAN MAH HUZUR SOK NO:5 ALAÇAM SAMSUN</t>
  </si>
  <si>
    <t>930295</t>
  </si>
  <si>
    <t>MEHMET AKİF ERSOY İLKOKULU MÜDÜRLÜĞÜ</t>
  </si>
  <si>
    <t>05057653507</t>
  </si>
  <si>
    <t>HASTANE MAH CANDARLI SOK. NO:14 ILKADIM SAMSUN</t>
  </si>
  <si>
    <t>930296</t>
  </si>
  <si>
    <t>HÜSEYİN YAMAN EFE GIDA TEMİZLİK ZAHİRE TOPTAN PERAKENDE SATIŞ</t>
  </si>
  <si>
    <t>05398830255</t>
  </si>
  <si>
    <t>PAZAR MAH KARANFİL 2. SOK. NO:1/3 19MAYIS SAMSUN</t>
  </si>
  <si>
    <t>930516</t>
  </si>
  <si>
    <t>SAMSUN EC YAPI VE EMLAK TİCARET SANAYİ LİMİTED ŞİRKETİ</t>
  </si>
  <si>
    <t>05413552929</t>
  </si>
  <si>
    <t>FEVZİ ÇAKMAK MAH SAMSUN CAD. NO:272/A BAFRA SAMSUN</t>
  </si>
  <si>
    <t>930725</t>
  </si>
  <si>
    <t>VEZİR İMAR ENERJİ PER. HİZ. LTD. ŞTİ. (KÜLTÜR MERKEZİ)</t>
  </si>
  <si>
    <t>930958</t>
  </si>
  <si>
    <t>KAVAK İMAR TURİZM SAN VE TİC LTD ŞTİ.(ATATÜRK PARKI)</t>
  </si>
  <si>
    <t>MEHMETPAŞA MAH FATİH SULTAN MEHMET CAD. NO:67/1 KAVAK SAMSUN</t>
  </si>
  <si>
    <t>930961</t>
  </si>
  <si>
    <t>KAVAK İMAR TURİZM SAN VE TİC LTD ŞTİ.(GAR PARK)</t>
  </si>
  <si>
    <t>930963</t>
  </si>
  <si>
    <t>KAVAK İMAR TURİZM SAN VE TİC LTD ŞTİ.(OTOGAR ÇAYBAHÇESİ)</t>
  </si>
  <si>
    <t>MEHMETPAŞA MAH FATİH SULTAN MEHMET CAD. NO:67 KAVAK SAMSUN</t>
  </si>
  <si>
    <t>930966</t>
  </si>
  <si>
    <t>KAVAK İMAR TURİZM SAN VE TİC LTD ŞTİ.(KARDELEN SALON)</t>
  </si>
  <si>
    <t>931191</t>
  </si>
  <si>
    <t>VEZİR İMAR ENERJİ PER. HİZ. LTD. ŞTİ. (BİLİM MERKEZİ)</t>
  </si>
  <si>
    <t>931192</t>
  </si>
  <si>
    <t>VEZİR İMAR ENERJİ PER. HİZ. LTD. ŞTİ. (VEZİRSU TABİAT PARK)</t>
  </si>
  <si>
    <t>931426</t>
  </si>
  <si>
    <t>MAHMUT SOYLU HALİLOĞLU RESTAURANT ET MANGAL</t>
  </si>
  <si>
    <t>05536128655</t>
  </si>
  <si>
    <t>KIŞLA MAH POLATLI BLV. NO:97/A ILKADIM SAMSUN</t>
  </si>
  <si>
    <t>931512</t>
  </si>
  <si>
    <t>05438769715</t>
  </si>
  <si>
    <t>931799</t>
  </si>
  <si>
    <t>BTT FRC 9084 ÇARŞAMBA UĞUR SONKAYA (SEÇ)</t>
  </si>
  <si>
    <t>KUMKÖY MAH _ NO:10 ÇARSAMBA SAMSUN</t>
  </si>
  <si>
    <t>931930</t>
  </si>
  <si>
    <t>TEMAŞ GIDA A.Ş. (ATAKUM SAMSUN)</t>
  </si>
  <si>
    <t>KÖRFEZ MAH YURT SOK. NO:22 ATAKUM SAMSUN</t>
  </si>
  <si>
    <t>932161</t>
  </si>
  <si>
    <t>DÖNDÜ ŞEKER ŞEREK BAKKALİYESİ</t>
  </si>
  <si>
    <t>05364673882</t>
  </si>
  <si>
    <t>AYDIN MAH (TINGIROĞLU KÖYÜ) MERKEZ SOKAK NO:1 MERKEZ SINOP</t>
  </si>
  <si>
    <t>932162</t>
  </si>
  <si>
    <t>DAMLA YAŞAR DORUK TABACCO SHOP</t>
  </si>
  <si>
    <t>05419198952</t>
  </si>
  <si>
    <t>GAZİOSMANPAŞA MAH UZUNÇARŞILI SOK NO:6 CANIK SAMSUN</t>
  </si>
  <si>
    <t>932333</t>
  </si>
  <si>
    <t>AYHAN SAMANCI</t>
  </si>
  <si>
    <t>05413697755</t>
  </si>
  <si>
    <t>YAVUZLAR MAH SAMANCI SOK. NO:1/1-1 TEKKEKÖY SAMSUN</t>
  </si>
  <si>
    <t>932599</t>
  </si>
  <si>
    <t>ZAHİDE ŞİMŞEK ŞAHİN BÜFE</t>
  </si>
  <si>
    <t>05355145504</t>
  </si>
  <si>
    <t>CUMHURIYET MAH LOZAN CAD. ATAKENT APT. NO:36/D ATAKUM SAMSUN</t>
  </si>
  <si>
    <t>932605</t>
  </si>
  <si>
    <t>GNC YATIRIM İNŞAAT SAN. VE TİC. LTD. ŞTİ. - DÜĞÜN SALONU</t>
  </si>
  <si>
    <t>05301212077</t>
  </si>
  <si>
    <t>KÖRFEZ MAH ATATÜRK BULV. NO:184 ATAKUM SAMSUN</t>
  </si>
  <si>
    <t>932747</t>
  </si>
  <si>
    <t>METİN CAN YETKİN ME-MUR MARKET</t>
  </si>
  <si>
    <t>A30</t>
  </si>
  <si>
    <t>YENİMAHALLE MAH 3150. SOK NO:44/A ATAKUM SAMSUN</t>
  </si>
  <si>
    <t>932947</t>
  </si>
  <si>
    <t>NURAY BAK</t>
  </si>
  <si>
    <t>05059285793</t>
  </si>
  <si>
    <t>_ KIZLAN MAH. KIZLAN SOKAK NO:1 MERKEZ SINOP</t>
  </si>
  <si>
    <t>933000</t>
  </si>
  <si>
    <t>MEHMET ÖNGEN 25 MAYIS ORTAOKULU</t>
  </si>
  <si>
    <t>05398583601</t>
  </si>
  <si>
    <t>19 MAYIS MAH ŞHT ER RAŞİT ÇAKIR CAD. NO:1 HAVZA SAMSUN</t>
  </si>
  <si>
    <t>933080</t>
  </si>
  <si>
    <t>KÜLLİYAT EĞİTİM ÖĞRETİM TİC.SAN A.Ş. - KIZ YURDU</t>
  </si>
  <si>
    <t>ALANLI MAH 3552 SOKAK NO:353 ATAKUM SAMSUN</t>
  </si>
  <si>
    <t>933133</t>
  </si>
  <si>
    <t>İHSAN POLAT</t>
  </si>
  <si>
    <t>05436767947</t>
  </si>
  <si>
    <t>ATATÜRK MAH ATATÜRK SOKAK NO:1 ÜNYE ORDU</t>
  </si>
  <si>
    <t>933192</t>
  </si>
  <si>
    <t>AHMET KURT KURT TİCARET</t>
  </si>
  <si>
    <t>05436773910</t>
  </si>
  <si>
    <t>YEŞİL MAH KAYADİBİ MEVKİİ NO:1 SALIPAZARI SAMSUN</t>
  </si>
  <si>
    <t>933323</t>
  </si>
  <si>
    <t>AYHAN ŞAHİN</t>
  </si>
  <si>
    <t>05063288701</t>
  </si>
  <si>
    <t>ETYEMEZ MAH YUSUFOĞLU SOK. NO:34 ALAÇAM SAMSUN</t>
  </si>
  <si>
    <t>933324</t>
  </si>
  <si>
    <t>SELMA UZUNHASANOĞLU 15 TEMMUZ ÖMER HALİSDEMİR İMAM HATİP LİSESİ KANTİNİ</t>
  </si>
  <si>
    <t>05334033655</t>
  </si>
  <si>
    <t>DERELER MAH MERKEZ 45. SOK NO:1 CANIK SAMSUN</t>
  </si>
  <si>
    <t>933366</t>
  </si>
  <si>
    <t>BTT FRC 7564 HÜSEYİN MUSTAFAOĞLU (SEÇ)</t>
  </si>
  <si>
    <t>ÇATALARMUT MAH 30 AĞUSTOS CAD. NO:273/14 ILKADIM SAMSUN</t>
  </si>
  <si>
    <t>933632</t>
  </si>
  <si>
    <t>OSMAN KÖKSAL</t>
  </si>
  <si>
    <t>05422622973</t>
  </si>
  <si>
    <t>YAVAŞBEY MAH MEVLANA CAD. NO:52 SALIPAZARI SAMSUN</t>
  </si>
  <si>
    <t>934217</t>
  </si>
  <si>
    <t>ÇARŞAMBA HELVACILI ORTAOKULU</t>
  </si>
  <si>
    <t>05334882887</t>
  </si>
  <si>
    <t>HELVACALI MAH KAVAKDİBİ MEVKİİ NO:1 ÇARSAMBA SAMSUN</t>
  </si>
  <si>
    <t>934322</t>
  </si>
  <si>
    <t>CARREFOUR SABANCI TİC.MRKZ.A.S. (7376 KALKANCA SÜPER)</t>
  </si>
  <si>
    <t>KARASAMSUN MAH DÖRTYOL SOK. NO:17/1 ILKADIM SAMSUN</t>
  </si>
  <si>
    <t>934339</t>
  </si>
  <si>
    <t>HAKAN KOCATAŞ RESUME ÇİĞKÖFTE</t>
  </si>
  <si>
    <t>05397685244</t>
  </si>
  <si>
    <t>SARICALI MAH YUNUS EMRE CAD. NO:89/C ÇARSAMBA SAMSUN</t>
  </si>
  <si>
    <t>934468</t>
  </si>
  <si>
    <t>BY GUSTO GIDA UNLU MAMÜLLERİ TUR. İNŞ. SAN. TİC. LTD. ŞTİ.</t>
  </si>
  <si>
    <t>05442095255</t>
  </si>
  <si>
    <t>19 MAYIS MAH HACI ALİ EKİNCİ BLV. NO:1 TEKKEKÖY SAMSUN</t>
  </si>
  <si>
    <t>934476</t>
  </si>
  <si>
    <t>SEBASTIAN YEMEK HİZMETLERİ LTD. ŞTİ.</t>
  </si>
  <si>
    <t>05465469676</t>
  </si>
  <si>
    <t>ULUGAZİ MAH İSTİKLAL CAD. NO:56/1 ILKADIM SAMSUN</t>
  </si>
  <si>
    <t>934533</t>
  </si>
  <si>
    <t>HAKAN PADOR KESKİNZADE DEĞİRMEN</t>
  </si>
  <si>
    <t>05464644667</t>
  </si>
  <si>
    <t>YÜKSELİŞ MAH DESEN SOK. NO:16/1 19MAYIS SAMSUN</t>
  </si>
  <si>
    <t>934633</t>
  </si>
  <si>
    <t>AHMET KOÇBIYIK KARADENİZ OTO YIKAMA</t>
  </si>
  <si>
    <t>05427320909</t>
  </si>
  <si>
    <t>MİMAR SİNAN MAH YUNUS EMRE CAD. NO:1/1 19MAYIS SAMSUN</t>
  </si>
  <si>
    <t>934649</t>
  </si>
  <si>
    <t>KORAY EFENDİOĞLU SİTELER MARKET</t>
  </si>
  <si>
    <t>05300358173</t>
  </si>
  <si>
    <t>Sezonluk Müşteri</t>
  </si>
  <si>
    <t>KAZIM KARABEKİR MAH BELDE SOK. NO:13 ILKADIM SAMSUN</t>
  </si>
  <si>
    <t>934655</t>
  </si>
  <si>
    <t>BÜLENT ERSİN EMİNE AHMET YENİ KIZ ANADOLU İMAM HATİP LİSESİ KANTİNİ</t>
  </si>
  <si>
    <t>ADALET MAH LİSE CAD. NO:75/1 ILKADIM SAMSUN</t>
  </si>
  <si>
    <t>934812</t>
  </si>
  <si>
    <t>ÖZGÜR KETENCİ ÇÖZÜM BİLGİSAYAR VE GÜVENLİK SİSTEMLERİ</t>
  </si>
  <si>
    <t>05541279299</t>
  </si>
  <si>
    <t>SARICALI MAH YUNUS EMRE CAD. NO:31/A ÇARSAMBA SAMSUN</t>
  </si>
  <si>
    <t>934817</t>
  </si>
  <si>
    <t>OĞUZ DALAY MEYDAN HAVUZBAŞI ÇAY OCAĞI</t>
  </si>
  <si>
    <t>05355933691</t>
  </si>
  <si>
    <t>ALTINYAPRAK MAH MERKEZ NO:1 BAFRA SAMSUN</t>
  </si>
  <si>
    <t>934905</t>
  </si>
  <si>
    <t>BTT FRC 9218 ALKAN MARKET MUSTAFA ALKAN (SEÇ)</t>
  </si>
  <si>
    <t>GAZİ MAH HASANLI CAD. NO:117 ÇARSAMBA SAMSUN</t>
  </si>
  <si>
    <t>934922</t>
  </si>
  <si>
    <t>PARILTIM YEMEK A.Ş. (OTOKOÇ SAMSUN 20.18.03)</t>
  </si>
  <si>
    <t>_ SAMSUN TRABZON KARAYOLU 10.KM TEKKEKÖY SAMSUN</t>
  </si>
  <si>
    <t>934985</t>
  </si>
  <si>
    <t>ÖZEL DURUŞEHİR FİNAL EĞİTİM HİZMETLERİ LİMİTED ŞİRKETİ</t>
  </si>
  <si>
    <t>05327814141</t>
  </si>
  <si>
    <t>KAZIM KARABEKİR MAH POLATLI BLV. NO:3/1 ILKADIM SAMSUN</t>
  </si>
  <si>
    <t>935089</t>
  </si>
  <si>
    <t>BAFRA ELİT GARDEN DAVET VE KIR BAHÇELERİ3</t>
  </si>
  <si>
    <t>935168</t>
  </si>
  <si>
    <t>HASAN ARABACI</t>
  </si>
  <si>
    <t>05369351146</t>
  </si>
  <si>
    <t>YUKARI KAVACIK MAH ORTA_13 SOK. NO:44/A ÇARSAMBA SAMSUN</t>
  </si>
  <si>
    <t>935175</t>
  </si>
  <si>
    <t>SADET SARIOĞLU KIZILOT ORTAOKUL KANTİNİ</t>
  </si>
  <si>
    <t>05438326126</t>
  </si>
  <si>
    <t>KIZILOT MAH MERKEZ SOK. NO:105/1 ÇARSAMBA SAMSUN</t>
  </si>
  <si>
    <t>935197</t>
  </si>
  <si>
    <t>SAMSUN KÜLTÜR TURİZM TİCARET A.Ş. (DOĞU KAFE)</t>
  </si>
  <si>
    <t>05445643851</t>
  </si>
  <si>
    <t>HANÇERLİ MAH ATATÜRK BULV. NO:122/1 ILKADIM SAMSUN</t>
  </si>
  <si>
    <t>935201</t>
  </si>
  <si>
    <t>HELVACILI ŞEHİT SAMET KELEŞ İLKOKULU OKUL AİLE BİRLİĞİ</t>
  </si>
  <si>
    <t>05468271895</t>
  </si>
  <si>
    <t>HELVACALI MAH TERME CAD. NO:116 ÇARSAMBA SAMSUN</t>
  </si>
  <si>
    <t>935226</t>
  </si>
  <si>
    <t>SAMSUN KÜLTÜR TURİZM TİCARET A.Ş. (DOĞU BÜFE)</t>
  </si>
  <si>
    <t>HANÇERLİ MAH ATATÜRK BUL. NO:122/1 ILKADIM SAMSUN</t>
  </si>
  <si>
    <t>935228</t>
  </si>
  <si>
    <t>SAMSUN KÜLTÜR TURİZM TİCARET A.Ş. (BATIPARK MANGAL)</t>
  </si>
  <si>
    <t>KALKANCI MAH ATATÜRK BULV. NO:122/1 ILKADIM SAMSUN</t>
  </si>
  <si>
    <t>935234</t>
  </si>
  <si>
    <t>SAMSUN KÜLTÜR TURİZM TİCARET A.Ş. (BATIPARK BÜFE)</t>
  </si>
  <si>
    <t>HANÇERLİ MAH ATATÜRK BLV. NO:122/1 ILKADIM SAMSUN</t>
  </si>
  <si>
    <t>935236</t>
  </si>
  <si>
    <t>SAMSUN KÜLTÜR TURİZM TİCARET A.Ş. (İSKELE KAFE)</t>
  </si>
  <si>
    <t>935238</t>
  </si>
  <si>
    <t>SAMSUN KÜLTÜR TURİZM TİCARET A.Ş. (İSKELE MEYDAN)</t>
  </si>
  <si>
    <t>935240</t>
  </si>
  <si>
    <t>SAMSUN KÜLTÜR TURİZM TİCARET A.Ş. (PALMİYE KAFE)</t>
  </si>
  <si>
    <t>935242</t>
  </si>
  <si>
    <t>SAMSUN KÜLTÜR TURİZM TİCARET A.Ş. (DENİZKIZI KAFE)</t>
  </si>
  <si>
    <t>935276</t>
  </si>
  <si>
    <t>SAMSUN KÜLTÜR TURİZM TİCARET A.Ş. (BANDIRMA HEDİYELİK)</t>
  </si>
  <si>
    <t>935278</t>
  </si>
  <si>
    <t>SAMSUN KÜLTÜR TURİZM TİCARET A.Ş. (PANORAMA BÜFE)</t>
  </si>
  <si>
    <t>935281</t>
  </si>
  <si>
    <t>SAMSUN KÜLTÜR TURİZM TİCARET A.Ş. (KENT MÜZE KAFE)</t>
  </si>
  <si>
    <t>935284</t>
  </si>
  <si>
    <t>SAMSUN KÜLTÜR TURİZM TİCARET A.Ş. (153 BÜFE)</t>
  </si>
  <si>
    <t>935285</t>
  </si>
  <si>
    <t>SAMSUN KÜLTÜR TURİZM TİCARET A.Ş. (MEDRESE ÇAY EVİ)</t>
  </si>
  <si>
    <t>935287</t>
  </si>
  <si>
    <t>SAMSUN KÜLTÜR TURİZM TİCARET A.Ş. (KENTPARK KAFE)</t>
  </si>
  <si>
    <t>935289</t>
  </si>
  <si>
    <t>SAMSUN KÜLTÜR TURİZM TİCARET A.Ş. (SAMSUN MÜZE KAFE)</t>
  </si>
  <si>
    <t>935290</t>
  </si>
  <si>
    <t>SAMSUN KÜLTÜR TURİZM TİCARET A.Ş. (SANAT KAFE)</t>
  </si>
  <si>
    <t>935292</t>
  </si>
  <si>
    <t>SAMSUN KÜLTÜR TURİZM TİCARET A.Ş. (İNCESU KAFE)</t>
  </si>
  <si>
    <t>935293</t>
  </si>
  <si>
    <t>SAMSUN KÜLTÜR TURİZM TİCARET A.Ş. (ÇAKIRLAR KAFE)</t>
  </si>
  <si>
    <t>935294</t>
  </si>
  <si>
    <t>SAMSUN KÜLTÜR TURİZM TİCARET A.Ş. (ÇAKIRLAR YALI KAFE)</t>
  </si>
  <si>
    <t>935296</t>
  </si>
  <si>
    <t>SAMSUN KÜLTÜR TURİZM TİCARET A.Ş. (DOĞANCA KAFE)</t>
  </si>
  <si>
    <t>935297</t>
  </si>
  <si>
    <t>SAMSUN KÜLTÜR TURİZM TİCARET A.Ş. (BUNGALOV KAFE)</t>
  </si>
  <si>
    <t>935541</t>
  </si>
  <si>
    <t>KAYA ÇİFTLİĞİ A.Ş. (KALEDERE)</t>
  </si>
  <si>
    <t>KALEDERE MAH 20 TEMMUZ CAD. NO:5 ÜNYE ORDU</t>
  </si>
  <si>
    <t>935542</t>
  </si>
  <si>
    <t>KAYA ÇİFTLİĞİ A.Ş. (YENİ MAHALLE)</t>
  </si>
  <si>
    <t>YENİMAHALLE MAH ALİ GAFFAR OKKAN CAD. NO:15/A ATAKUM SAMSUN</t>
  </si>
  <si>
    <t>935543</t>
  </si>
  <si>
    <t>KAYA ÇİFTLİĞİ A.Ş. (SARICALI)</t>
  </si>
  <si>
    <t>SARICALI MAH YUNUS EMRE CAD. NO:52/1 12_18C 20B ÇARSAMBA SAMSUN</t>
  </si>
  <si>
    <t>935544</t>
  </si>
  <si>
    <t>KAYA ÇİFTLİĞİ A.Ş. (KALE)</t>
  </si>
  <si>
    <t>KALE MAH GAZİ CAD. NO:82/D ILKADIM SAMSUN</t>
  </si>
  <si>
    <t>935674</t>
  </si>
  <si>
    <t>ÖZGÜR ŞAHİN ŞAHİN TİCARET</t>
  </si>
  <si>
    <t>05355455778</t>
  </si>
  <si>
    <t>_ SANAYİ SİTESİ SOSYAL HİZMETLER NO:16 ÜNYE ORDU</t>
  </si>
  <si>
    <t>935695</t>
  </si>
  <si>
    <t>SAMSUN ANAKENT TURİZM TİCARET A.Ş. (ŞİRİN KAFE)</t>
  </si>
  <si>
    <t>05333057400</t>
  </si>
  <si>
    <t>935699</t>
  </si>
  <si>
    <t>SAMSUN ANAKENT TURİZM TİCARET A.Ş. (SU SPORLARI-KANO)</t>
  </si>
  <si>
    <t>935704</t>
  </si>
  <si>
    <t>ZEYNEL ABİDİN GIDA İNŞ. NAK. TİC VE LTD. ŞTİ.</t>
  </si>
  <si>
    <t>05375744125</t>
  </si>
  <si>
    <t>BELEDİYE EVLERİ MAH MELİKŞAH SOK. NO:52 CANIK SAMSUN</t>
  </si>
  <si>
    <t>935735</t>
  </si>
  <si>
    <t>SAMET DİLEK DİLEK MARKET BAKKAL</t>
  </si>
  <si>
    <t>05412648166</t>
  </si>
  <si>
    <t>KIŞLA MAH MERKEZ SOK. NO:1 TEKKEKÖY SAMSUN</t>
  </si>
  <si>
    <t>935841</t>
  </si>
  <si>
    <t>ŞENAY KARABULUT LALİ ORGANİZASYON</t>
  </si>
  <si>
    <t>05422474554</t>
  </si>
  <si>
    <t>_ KORUCUK MAH. YARIMOKKA KÜME EVLERİ NO:99 MERKEZ SINOP</t>
  </si>
  <si>
    <t>935955</t>
  </si>
  <si>
    <t>SAMSUN ANAKENT TURİZM TİCARET A.Ş. (MİLİÇ)</t>
  </si>
  <si>
    <t>936107</t>
  </si>
  <si>
    <t>SAMSUN ANAKENT TURİZM TİCARET A.Ş. (ATLI SPOR)</t>
  </si>
  <si>
    <t>936109</t>
  </si>
  <si>
    <t>SAMSUN ANAKENT TURİZM TİCARET A.Ş. (FENER PLAJI)</t>
  </si>
  <si>
    <t>936110</t>
  </si>
  <si>
    <t>SAMSUN ANAKENT TURİZM TİCARET A.Ş. (SU ADA)</t>
  </si>
  <si>
    <t>936111</t>
  </si>
  <si>
    <t>SAMSUN ANAKENT TURİZM TİCARET A.Ş. (SU-KAY)</t>
  </si>
  <si>
    <t>936117</t>
  </si>
  <si>
    <t>SAMSUN ANAKENT TURİZM TİCARET A.Ş. (KANYON)</t>
  </si>
  <si>
    <t>936208</t>
  </si>
  <si>
    <t>ŞÜKRAN OCAK OCAK KARDEŞLER MARKET</t>
  </si>
  <si>
    <t>05434255088</t>
  </si>
  <si>
    <t>ORTA YILMAZLAR MAH KANLIKUYU SOK. NO:12/A ÜNYE ORDU</t>
  </si>
  <si>
    <t>936209</t>
  </si>
  <si>
    <t>FERİT MAŞEROĞLU FİLİZ ÇAY CAFE</t>
  </si>
  <si>
    <t>05392019689</t>
  </si>
  <si>
    <t>PAZAR MAH UMUT SOK. NO:35 19MAYIS SAMSUN</t>
  </si>
  <si>
    <t>936216</t>
  </si>
  <si>
    <t>HAKAN TEKİN İSOTTO ÇİĞKÖFTE EVİ</t>
  </si>
  <si>
    <t>05376476565</t>
  </si>
  <si>
    <t>SARICALI MAH SERA SOK. MO:8/B ÇARSAMBA SAMSUN</t>
  </si>
  <si>
    <t>936365</t>
  </si>
  <si>
    <t>NEW HOTEL TURİZM OTOMOTİV RESTORAN SAN. TİC. A.Ş.</t>
  </si>
  <si>
    <t>05523501339</t>
  </si>
  <si>
    <t>KÖRFEZ MAH 5009. SOK. NO:7/1 ATAKUM SAMSUN</t>
  </si>
  <si>
    <t>936636</t>
  </si>
  <si>
    <t>PINAR ÖKSÜZ ERDEMİR PETROL</t>
  </si>
  <si>
    <t>05342298534</t>
  </si>
  <si>
    <t>AHMETSARAY MAH AHMET SARAY 23. SOK. NO:1 LÂDIK SAMSUN</t>
  </si>
  <si>
    <t>936637</t>
  </si>
  <si>
    <t>CEMİL SOYAD CEMİL MARKET</t>
  </si>
  <si>
    <t>05456853619</t>
  </si>
  <si>
    <t>BEYLERCE MAH YENİ SAMSUN CAD. NO:312 ÇARSAMBA SAMSUN</t>
  </si>
  <si>
    <t>936705</t>
  </si>
  <si>
    <t>SAMSUN ANAKENT TURİZM TİCARET A.Ş. (SÜMBÜL KONAĞI)</t>
  </si>
  <si>
    <t>936706</t>
  </si>
  <si>
    <t>SAMSUN ANAKENT TURİZM TİCARET A.Ş. (GOLF KULÜBÜ)</t>
  </si>
  <si>
    <t>936707</t>
  </si>
  <si>
    <t>SAMSUN ANAKENT TURİZM TİCARET A.Ş. (RASATHANE KAFE)</t>
  </si>
  <si>
    <t>936708</t>
  </si>
  <si>
    <t>SAMSUN ANAKENT TURİZM TİCARET A.Ş. (ANAKENT KAFE)</t>
  </si>
  <si>
    <t>937199</t>
  </si>
  <si>
    <t>AKBEL TURİZM TAAH. İNŞ. SAN. VE TİC. A.Ş.</t>
  </si>
  <si>
    <t>05330206163</t>
  </si>
  <si>
    <t>MERKEZ MAH MEYDAN SOK. NO:6/F AKKUS ORDU</t>
  </si>
  <si>
    <t>937375</t>
  </si>
  <si>
    <t>ARCAN AKTÜRK DUAYEN LOUNGE</t>
  </si>
  <si>
    <t>05424874898</t>
  </si>
  <si>
    <t>GÖLEVİ MAH DEVLET SAHİL YOLU NO:885/A ÜNYE ORDU</t>
  </si>
  <si>
    <t>937445</t>
  </si>
  <si>
    <t>ŞÜKRÜ MEMİŞ</t>
  </si>
  <si>
    <t>05359810271</t>
  </si>
  <si>
    <t>TOPTEPE MAH BERHAN CAVUŞ SOK. NO:21 CANIK SAMSUN</t>
  </si>
  <si>
    <t>937463</t>
  </si>
  <si>
    <t>SAMSUN ANAKENT TURİZM TİCARET A.Ş. (AYVACIK İSKELE KAFE)</t>
  </si>
  <si>
    <t>937493</t>
  </si>
  <si>
    <t>ÖZGÜR KOÇ</t>
  </si>
  <si>
    <t>05363125549</t>
  </si>
  <si>
    <t>19 MAYIS MAH 646. SOK. NO:4 TEKKEKÖY SAMSUN</t>
  </si>
  <si>
    <t>937507</t>
  </si>
  <si>
    <t>BTT FRC 8960 ABDUSSAMET CİN (SEÇ)</t>
  </si>
  <si>
    <t>BEYPINAR MAH 1386 CAD. NO:50 ATAKUM SAMSUN</t>
  </si>
  <si>
    <t>937658</t>
  </si>
  <si>
    <t>EMİRSAN EMRAH TERCÜMAN KIZILOT MARKET</t>
  </si>
  <si>
    <t>0533 718 11 12</t>
  </si>
  <si>
    <t>KIZILOT MAH MERKEZ SOK. NO:17/A ÇARSAMBA SAMSUN</t>
  </si>
  <si>
    <t>937730</t>
  </si>
  <si>
    <t>AKÇAAĞAÇ KORU TURİZM LTD.ŞTİ. - 2</t>
  </si>
  <si>
    <t>_ ORDU MAH. AKÇAAÇ KÜME EVLERİ NO:22 MERKEZ SINOP</t>
  </si>
  <si>
    <t>937732</t>
  </si>
  <si>
    <t>ALAÇAM ÖĞRETMENEVİ VE A.S.O.MÜD. - 3</t>
  </si>
  <si>
    <t>FATİH MAH GEYIK KOSAN CAD NO:185 ALAÇAM SAMSUN</t>
  </si>
  <si>
    <t>937760</t>
  </si>
  <si>
    <t>ALİ ÖZTÜRK BARUTHANE SPOR SALONU- 2</t>
  </si>
  <si>
    <t>05442451282</t>
  </si>
  <si>
    <t>BARUTHANE MAH BAFRA CAD. NO:95 ILKADIM SAMSUN</t>
  </si>
  <si>
    <t>937887</t>
  </si>
  <si>
    <t>AHMET KARA AK TİCARET</t>
  </si>
  <si>
    <t>05364913992</t>
  </si>
  <si>
    <t>YENİ MAH Ş. RECEP İNCE CAD. NO:22/1 SULUOVA AMASYA</t>
  </si>
  <si>
    <t>AMASYA</t>
  </si>
  <si>
    <t>SULUOVA</t>
  </si>
  <si>
    <t>937916</t>
  </si>
  <si>
    <t>SÜNDÜS BAL KEYF-İ ACIZADE ÇİĞKÖFTE</t>
  </si>
  <si>
    <t>05416779607</t>
  </si>
  <si>
    <t>SARICALI MAH YUNUS EMRE CAD. NO:120 ÇARSAMBA SAMSUN</t>
  </si>
  <si>
    <t>937972</t>
  </si>
  <si>
    <t>SABRİ SARIOĞLU</t>
  </si>
  <si>
    <t>05439515555</t>
  </si>
  <si>
    <t>ORTA MAH SOFUOĞLU CD NO:14/A ÇARSAMBA SAMSUN</t>
  </si>
  <si>
    <t>937977</t>
  </si>
  <si>
    <t>SİMAR MARKET</t>
  </si>
  <si>
    <t>05459737739</t>
  </si>
  <si>
    <t>ORTA MAH CEMİL ŞENSOY CAD. NO:31A ÇARSAMBA SAMSUN</t>
  </si>
  <si>
    <t>937979</t>
  </si>
  <si>
    <t>HAVA ALTINKAYNAK</t>
  </si>
  <si>
    <t>05469557556</t>
  </si>
  <si>
    <t>ÇAY MAH ÇUBUKÇUOĞLU CAD. NO:292/A ÇARSAMBA SAMSUN</t>
  </si>
  <si>
    <t>938043</t>
  </si>
  <si>
    <t>MUSTAFA ÖZKAN</t>
  </si>
  <si>
    <t>05433375484</t>
  </si>
  <si>
    <t>MİMARSİNAN MAH ATATÜRK BULV. NO:198-13 ATAKUM SAMSUN</t>
  </si>
  <si>
    <t>938044</t>
  </si>
  <si>
    <t>EMİN KILIÇ</t>
  </si>
  <si>
    <t>05449229288</t>
  </si>
  <si>
    <t>FENK MAH PAZARALÇAĞI HASTANE GEÇİDİ NO:7 TERME SAMSUN</t>
  </si>
  <si>
    <t>938060</t>
  </si>
  <si>
    <t>SEDA GENÇAL YILDIRIM</t>
  </si>
  <si>
    <t>05438303486</t>
  </si>
  <si>
    <t>LİSELER MAH SANTRAL SK. NO:6 ÜNYE ORDU</t>
  </si>
  <si>
    <t>938062</t>
  </si>
  <si>
    <t>TUĞBA KOÇAK KOÇAK MARKET</t>
  </si>
  <si>
    <t>05434690195</t>
  </si>
  <si>
    <t>BELEDİYE EVLERİ MAH KUVAYİ MİLLİYE SK. NO:5/5 CANIK SAMSUN</t>
  </si>
  <si>
    <t>938172</t>
  </si>
  <si>
    <t>TERME ÖĞRETMENEVİ VE ASO MÜDÜRLÜĞÜ</t>
  </si>
  <si>
    <t>05520657055</t>
  </si>
  <si>
    <t>FENK MAH YENİHAL SOK. NO:13 TERME SAMSUN</t>
  </si>
  <si>
    <t>938190</t>
  </si>
  <si>
    <t>YAVUZLAR MARKET ORHAN YAVUZ</t>
  </si>
  <si>
    <t>05378139429</t>
  </si>
  <si>
    <t>EĞRİDERE MAH MERKEZ SK. NO:21/1 ÇARSAMBA SAMSUN</t>
  </si>
  <si>
    <t>938274</t>
  </si>
  <si>
    <t>YILDIZ MARKET İSMAİL YILDIZ</t>
  </si>
  <si>
    <t>KALKANCI MAH HAZİNE SK. NO:1 ILKADIM SAMSUN</t>
  </si>
  <si>
    <t>938394</t>
  </si>
  <si>
    <t>KILIÇ BÜFE AHMET KILIÇ</t>
  </si>
  <si>
    <t>05432253585</t>
  </si>
  <si>
    <t>NURİYE MAH KAVAKTEPE CAD. NO:6/1 ÜNYE ORDU</t>
  </si>
  <si>
    <t>938398</t>
  </si>
  <si>
    <t>SOĞANCILAR PETROL TURİZM MOB. MEFR. TEKS. ÜR. SAN. VE TİC. LTD. ŞTİ</t>
  </si>
  <si>
    <t>05336205015</t>
  </si>
  <si>
    <t>CUMHURİYET MAH MERKEZ SOK. NO:325 TERME SAMSUN</t>
  </si>
  <si>
    <t>938404</t>
  </si>
  <si>
    <t>BTT FRC 9369 NEŞET PALA (SEÇ)</t>
  </si>
  <si>
    <t>CUMHURIYET MAH 80 SOK. ÇELİK APT NO:9/A ATAKUM SAMSUN</t>
  </si>
  <si>
    <t>938464</t>
  </si>
  <si>
    <t>NAZLI GÜNEYSU GÜNEYSU MARKET</t>
  </si>
  <si>
    <t>05365523373</t>
  </si>
  <si>
    <t>_ İSTİKLAL MAH. YUNUS EMRE CAD. NO:184/A ÇARSAMBA SAMSUN</t>
  </si>
  <si>
    <t>938470</t>
  </si>
  <si>
    <t>SALIPAZARI ZAFER AVM ZAFER YILDIZ</t>
  </si>
  <si>
    <t>05422671659</t>
  </si>
  <si>
    <t>YAVAŞBEY MAH TERME CAD. NO:1B SALIPAZARI SAMSUN</t>
  </si>
  <si>
    <t>938668</t>
  </si>
  <si>
    <t>FATMA KALAYCI</t>
  </si>
  <si>
    <t>05326669788</t>
  </si>
  <si>
    <t>ORHANGAZİ MAH ATATÜRK BLV. NO:38 AYVACIK SAMSUN</t>
  </si>
  <si>
    <t>938741</t>
  </si>
  <si>
    <t>KAVAZOĞLU İNŞAAT HAYVANCILIK TURİZM GIDA MOBİLYA TİCATER VE SANAYİ LİMİTED ŞİRKETİ</t>
  </si>
  <si>
    <t>05462633434</t>
  </si>
  <si>
    <t>YENİ MAH ATATÜRK CAD. NO:3 MERKEZ SINOP</t>
  </si>
  <si>
    <t>938799</t>
  </si>
  <si>
    <t>TC. SAMSUN VALİLİĞİ EMNİYET MÜDÜRLÜĞÜ POLİSEVİ ŞUBE MÜDÜRLÜĞÜ</t>
  </si>
  <si>
    <t>05431585561</t>
  </si>
  <si>
    <t>ZAFER MAH CUMHURİYET CAD. NO:27 ILKADIM SAMSUN</t>
  </si>
  <si>
    <t>938841</t>
  </si>
  <si>
    <t>MANAV BAKKAL GÜLİZAR AKMAN</t>
  </si>
  <si>
    <t>05443110339</t>
  </si>
  <si>
    <t>KIZLAN MAH KIZLAN SOK. NO:40/A ALAÇAM SAMSUN</t>
  </si>
  <si>
    <t>938893</t>
  </si>
  <si>
    <t>ÜZEYİR GÖKMEN KEYİFLİ CAFE BÜFE</t>
  </si>
  <si>
    <t>05326336837</t>
  </si>
  <si>
    <t>19 MAYIS MAH SİNOP CAD. NO:62/A GERZE SINOP</t>
  </si>
  <si>
    <t>938895</t>
  </si>
  <si>
    <t>VERAMAR GIDA SAN. VE TİC. LTD. ŞTİ.</t>
  </si>
  <si>
    <t>05433738732</t>
  </si>
  <si>
    <t>DEREBAHÇE MAH MAÇKA SOK. NO:35/A ILKADIM SAMSUN</t>
  </si>
  <si>
    <t>938953</t>
  </si>
  <si>
    <t>SAMSUN KÜLTÜR TURİZM TİCARET A.Ş. (SAMSUN MARKET)</t>
  </si>
  <si>
    <t>938954</t>
  </si>
  <si>
    <t>SAMSUN KÜLTÜR TURİZM TİCARET A.Ş. (SAMSUN KAHVALTI)</t>
  </si>
  <si>
    <t>939081</t>
  </si>
  <si>
    <t>TOKGÖZ OTOMOTİV SELİM TOKGÖZ</t>
  </si>
  <si>
    <t>05432605906</t>
  </si>
  <si>
    <t>FEVZİ ÇAKMAK MAH AZİZİYE CD. NO:89/1 ILKADIM SAMSUN</t>
  </si>
  <si>
    <t>939082</t>
  </si>
  <si>
    <t>MESURE ÇAKIR</t>
  </si>
  <si>
    <t>05457626327</t>
  </si>
  <si>
    <t>KARŞIYAKA MAH OK SOKAK SK. NO:56 CANIK SAMSUN</t>
  </si>
  <si>
    <t>939097</t>
  </si>
  <si>
    <t>SAMSUN ANAKENT TURİZM TİCARET A.Ş. (SEVGİ GÖLÜ)</t>
  </si>
  <si>
    <t>939114</t>
  </si>
  <si>
    <t>VADİPARK TESİSLERİ HASAN YILDIRIM</t>
  </si>
  <si>
    <t>05322280601</t>
  </si>
  <si>
    <t>BOĞAZKAYA MAH TEPECİK SK. NO:77 BAFRA SAMSUN</t>
  </si>
  <si>
    <t>939209</t>
  </si>
  <si>
    <t>ÇAĞDAŞ MARKET HASAN BOZKAYA</t>
  </si>
  <si>
    <t>05445321344</t>
  </si>
  <si>
    <t>ÇAY MAH H. MÜSLÜM SK. NO:1 ÇARSAMBA SAMSUN</t>
  </si>
  <si>
    <t>939239</t>
  </si>
  <si>
    <t>05448333751</t>
  </si>
  <si>
    <t>KİRAZLIKÇAY MAH 475 SK. NO:3/A ÇARSAMBA SAMSUN</t>
  </si>
  <si>
    <t>939385</t>
  </si>
  <si>
    <t>SARDUNYA HAZIR YEMEK A.Ş. (KASTAMONU ENTEGRE TESİSİ TERME SAMSUN)</t>
  </si>
  <si>
    <t>AKÇAY MAH KIRIKYALI SOK. NO:1/A TERME SAMSUN</t>
  </si>
  <si>
    <t>939400</t>
  </si>
  <si>
    <t>MERVE EĞİTİM KÜLTÜR VE YARDIMLAŞMA VAKFI</t>
  </si>
  <si>
    <t>05425266879</t>
  </si>
  <si>
    <t>PAZAR MAH HASTANE SK. NO:25/C ILKADIM SAMSUN</t>
  </si>
  <si>
    <t>939472</t>
  </si>
  <si>
    <t>939582</t>
  </si>
  <si>
    <t>GNT PROJE LTD. ŞTİ. (SİNOP E TİPİ KAPALI İNFAZ KURUMU AÇIK)</t>
  </si>
  <si>
    <t>OSMANİYE KARAGÖL MAH (OSMANİYE KÖYÜ) KARAGÖL MEVKİİ NO:34 MERKEZ SINOP</t>
  </si>
  <si>
    <t>939840</t>
  </si>
  <si>
    <t>BTT FRC 6737 SEFER TEK (SEÇ)</t>
  </si>
  <si>
    <t>MERKEZ MAH İNÖNÜ SK. NO:20/A YAKAKENT SAMSUN</t>
  </si>
  <si>
    <t>939958</t>
  </si>
  <si>
    <t>SARDUNYA HAZIR YEMEK A.Ş. (ÜNYE MADEN)</t>
  </si>
  <si>
    <t>GÜZELYALI MAH GÜZELYALI SOK. NO:33/1 ÜNYE ORDU</t>
  </si>
  <si>
    <t>940029</t>
  </si>
  <si>
    <t>FER-AH YEMEKHANE TEMİZLİK NAK. İNŞ. TAAH. TUR. YAZ. SER. HİZ. VE TİC. LTD. ŞTİ</t>
  </si>
  <si>
    <t>05387947501</t>
  </si>
  <si>
    <t>_ SANAYİ MAH. 308.SOK. NO:1 / 202 ORTAHISAR TRABZON</t>
  </si>
  <si>
    <t>TRABZON</t>
  </si>
  <si>
    <t>ORTAHISAR</t>
  </si>
  <si>
    <t>940072</t>
  </si>
  <si>
    <t>MİTO GIDA TATLICILIK İNŞ. SAN. VE TİC. LTD. ŞTİ.</t>
  </si>
  <si>
    <t>05320129532</t>
  </si>
  <si>
    <t>DEREBAHÇE MAH IRMAK CAD. NO:154/1 ILKADIM SAMSUN</t>
  </si>
  <si>
    <t>940421</t>
  </si>
  <si>
    <t>SULTAN ÇELİK ASAH SEDİR İNTERNET VE BİLGİSAYAR BAKIM ONARIM SERVİSİ</t>
  </si>
  <si>
    <t>05416779555</t>
  </si>
  <si>
    <t>_ K.PAŞA CAD. YENİKARAOĞLAN PSJ. NO:10 HAVZA SAMSUN</t>
  </si>
  <si>
    <t>940473</t>
  </si>
  <si>
    <t>SARDUNYA HAZIR YEMEK A.Ş. (ÜNYE SIVOMATİC MADENCİLİK)</t>
  </si>
  <si>
    <t>KİLLİK MAH KİLLİK KÖYÜ YOLU NO:35 ÜNYE ORDU</t>
  </si>
  <si>
    <t>940664</t>
  </si>
  <si>
    <t>MENŞURE AKÇA NASİP YÜN ELYAF</t>
  </si>
  <si>
    <t>05469742349</t>
  </si>
  <si>
    <t>YAŞAR DOĞU MAH AKÇA SOK. NO:7 KAVAK SAMSUN</t>
  </si>
  <si>
    <t>940665</t>
  </si>
  <si>
    <t>AYAN PAZARLAMA TİCARET SANAYİ LTD. ŞTİ.</t>
  </si>
  <si>
    <t>05462003452</t>
  </si>
  <si>
    <t>ÜNİVERSİTE MAH SAMSUN KARAYOLU CAD. NO:250/A HAVZA SAMSUN</t>
  </si>
  <si>
    <t>940749</t>
  </si>
  <si>
    <t>SAMSUN KÜLTÜR TURİZM TİCARET A.Ş. (MERKEZ DEPO)</t>
  </si>
  <si>
    <t>940751</t>
  </si>
  <si>
    <t>ADEM TOPRAK ADEM USTA PİDE LAHMACUN</t>
  </si>
  <si>
    <t>05324537579</t>
  </si>
  <si>
    <t>EĞERCİLİ MAH ATATÜRK BLV. NO:44 ÇARSAMBA SAMSUN</t>
  </si>
  <si>
    <t>940752</t>
  </si>
  <si>
    <t>HASAN BALCI BALCIOĞLU SÜPERMARKET</t>
  </si>
  <si>
    <t>05441064155</t>
  </si>
  <si>
    <t>ORHANGAZİ MAH ATATÜRK BLV. NO:44/A AYVACIK SAMSUN</t>
  </si>
  <si>
    <t>940757</t>
  </si>
  <si>
    <t>DEVGROSS TOPTAN MARKET PAZ.DAĞ.İTH.İHR.SAN.TİC.LTD.ŞTİ. (ATAKUM)</t>
  </si>
  <si>
    <t>BÜYÜKKOLPINAR MAH ANADOLU BLV. NO:19/1 ATAKUM SAMSUN</t>
  </si>
  <si>
    <t>940764</t>
  </si>
  <si>
    <t>SAFA CAN ABDİK.</t>
  </si>
  <si>
    <t>DEREKÖY MAH FATİH BULVARI NO:167 19MAYIS SAMSUN</t>
  </si>
  <si>
    <t>940919</t>
  </si>
  <si>
    <t>EKREM GÖKDEMİR SANCAK MARKET</t>
  </si>
  <si>
    <t>05449060455</t>
  </si>
  <si>
    <t>ÇOBANLI MAH 3119. SOKAK NO:8 ATAKUM SAMSUN</t>
  </si>
  <si>
    <t>940966</t>
  </si>
  <si>
    <t>FATMA DEMİRKURT DEMİRKURT GIDA</t>
  </si>
  <si>
    <t>05462805855</t>
  </si>
  <si>
    <t>YENİ KÖSELİ MAH ORTA SOK. NO:38/B ÇARSAMBA SAMSUN</t>
  </si>
  <si>
    <t>941294</t>
  </si>
  <si>
    <t>HASAN YARAR - 2</t>
  </si>
  <si>
    <t>YAVUZ SELİM MAH SEDİR GECİDİ NO:113 CANIK SAMSUN</t>
  </si>
  <si>
    <t>941295</t>
  </si>
  <si>
    <t>NEŞET PALA</t>
  </si>
  <si>
    <t>05436336995</t>
  </si>
  <si>
    <t>CUMHURIYET MAH 80. SOK. NO:9/A ATAKUM SAMSUN</t>
  </si>
  <si>
    <t>941459</t>
  </si>
  <si>
    <t>SARDUNYA HAZIR YEMEK A.Ş. (OYAK ÇİMENTO FABRİKALARI ÜNYE)</t>
  </si>
  <si>
    <t>GÜNPINARI MAH BOĞAZAĞZI SOK. NO:2 ÜNYE ORDU</t>
  </si>
  <si>
    <t>941528</t>
  </si>
  <si>
    <t>SAMSUN KÜLTÜR TURİZM TİCARET A.Ş. (BALIK EKMEK BÜFE)</t>
  </si>
  <si>
    <t>HANÇERLİ MAH ATATÜRK BLV. NO:122 ILKADIM SAMSUN</t>
  </si>
  <si>
    <t>941671</t>
  </si>
  <si>
    <t>SARDUNYA HAZIR YEMEK A.Ş. (TOROS TARIM TEKKEKÖY SAMSUN)</t>
  </si>
  <si>
    <t>SANAYİ MAH BAKIR SİTESİ CAD. NO:9/25 TEKKEKÖY SAMSUN</t>
  </si>
  <si>
    <t>941723</t>
  </si>
  <si>
    <t>AYHAN CÜRE KÖŞEM MARKET SARKÜTERİ</t>
  </si>
  <si>
    <t>05434588308</t>
  </si>
  <si>
    <t>ATATÜRK MAH ÇAMBAŞI CAD. NO:48/B ÜNYE ORDU</t>
  </si>
  <si>
    <t>941861</t>
  </si>
  <si>
    <t>SEVİNÇ GÜLÇİÇEK TATİSTA</t>
  </si>
  <si>
    <t>YENİDOĞAN MAH ŞEBBOY SOK. NO:12 ILKADIM SAMSUN</t>
  </si>
  <si>
    <t>941931</t>
  </si>
  <si>
    <t>HIDIR YANKUNCU YANKUNCULAR MARKET</t>
  </si>
  <si>
    <t>05394818803</t>
  </si>
  <si>
    <t>BAYRAMCA MAH IRMAK CAD. NO:89/A ÜNYE ORDU</t>
  </si>
  <si>
    <t>941986</t>
  </si>
  <si>
    <t>AHMET COŞAR COŞAR GIDA ÇAVEVİ</t>
  </si>
  <si>
    <t>05428069305</t>
  </si>
  <si>
    <t>KARŞIYAKA MAH İLADIM BLV. NO:93/1 CANIK SAMSUN</t>
  </si>
  <si>
    <t>942155</t>
  </si>
  <si>
    <t>AYŞE KARTELEK</t>
  </si>
  <si>
    <t>05072058875</t>
  </si>
  <si>
    <t>ULUGAZİ MAH BAĞDAT CAD. NO:51/A ILKADIM SAMSUN</t>
  </si>
  <si>
    <t>942156</t>
  </si>
  <si>
    <t>YÜNUS ÖZÇAM ÖZÇAMLAR KISMET TİCARET</t>
  </si>
  <si>
    <t>05322764637</t>
  </si>
  <si>
    <t>ORTA MAH KIZILAY CAD. NO:22 ÇARSAMBA SAMSUN</t>
  </si>
  <si>
    <t>942163</t>
  </si>
  <si>
    <t>GNT PROJE LTD. ŞTİ. (ÇARŞAMBA AÇIK CEZA VE İNFAZ KURUMU MÜDÜRLÜĞÜ)</t>
  </si>
  <si>
    <t>DEMİRASLAN MAH AŞAĞI SOK. NO:72 ÇARSAMBA SAMSUN</t>
  </si>
  <si>
    <t>942616</t>
  </si>
  <si>
    <t>SOK A.S. (14194 ORDU ÇAYBAŞI İLKÜVEZ)</t>
  </si>
  <si>
    <t>İLKÜVEZ MAH ÜNYE CADDESİ NO:17 ÇAYBASI ORDU</t>
  </si>
  <si>
    <t>942799</t>
  </si>
  <si>
    <t>ABDUL KERİM DIKBIYIK</t>
  </si>
  <si>
    <t>05368242732</t>
  </si>
  <si>
    <t>İLKÜVEZ MAH İLÜVEZ CAD. NO:13 ÇAYBASI ORDU</t>
  </si>
  <si>
    <t>942873</t>
  </si>
  <si>
    <t>MURAT ŞEKER DİKBIYIK ORTAOKULU KANTİNİ</t>
  </si>
  <si>
    <t>05365094487</t>
  </si>
  <si>
    <t>DİKBIYIK MAH LİSE CAD. NO:11 ÇARSAMBA SAMSUN</t>
  </si>
  <si>
    <t>942906</t>
  </si>
  <si>
    <t>SARDUNYA HAZIR YEMEK A.Ş. (CANİKLİ FEN BİLİMLERİ)</t>
  </si>
  <si>
    <t>KOCUKLU MAH KOCUKLU SOK. NO:4 ÜNYE ORDU</t>
  </si>
  <si>
    <t>943011</t>
  </si>
  <si>
    <t>YÜKSEL SOYYİĞİT ATATÜRK İLKOKULU KANTİN İŞLETMECİLİĞİ</t>
  </si>
  <si>
    <t>05417248698</t>
  </si>
  <si>
    <t>FENK MAH ESİN SOK. NO:26 TERME SAMSUN</t>
  </si>
  <si>
    <t>943024</t>
  </si>
  <si>
    <t>BAYRAM BİRCAN</t>
  </si>
  <si>
    <t>05317784885</t>
  </si>
  <si>
    <t>KARAHÜSEYİNLİ MAH KARAHÜSEYİNLİ CAD. NO:1 ALAÇAM SAMSUN</t>
  </si>
  <si>
    <t>943071</t>
  </si>
  <si>
    <t>BİLAL KANCA ZEYNEP UNLU GIDA VE YUFKA</t>
  </si>
  <si>
    <t>05497315561</t>
  </si>
  <si>
    <t>KURTULUŞ MAH BAKİ ESEN CAD. NO:60/A TEKKEKÖY SAMSUN</t>
  </si>
  <si>
    <t>943072</t>
  </si>
  <si>
    <t>DUMLUPINAR ORTAOKUL KOOPERATİFİ</t>
  </si>
  <si>
    <t>05334379189</t>
  </si>
  <si>
    <t>_ ALİ FUAT BAŞGİL CAD. NO:6 ÇARSAMBA SAMSUN</t>
  </si>
  <si>
    <t>943326</t>
  </si>
  <si>
    <t>İBRAHİM KABAŞ TERME NAZMİNE ÜNAL SOĞANCI ORTAOKULU KANTİNİ</t>
  </si>
  <si>
    <t>05446259966</t>
  </si>
  <si>
    <t>BAHÇELİEVLER MAH ULUS CAD. NO:17/1 TERME SAMSUN</t>
  </si>
  <si>
    <t>943327</t>
  </si>
  <si>
    <t>HALİL CAN ENDÜSTRİ MESLEK LİSESİ KANTİNİ</t>
  </si>
  <si>
    <t>05425578565</t>
  </si>
  <si>
    <t>ÇAY MAH SANAYİ BULV. NO:1 TERME SAMSUN</t>
  </si>
  <si>
    <t>943638</t>
  </si>
  <si>
    <t>AYSEL DENİZ DENİZ MARKET</t>
  </si>
  <si>
    <t>05387027794</t>
  </si>
  <si>
    <t>İSHAKLI MAH İRFANİYE SOK. NO:58/A BAFRA SAMSUN</t>
  </si>
  <si>
    <t>943650</t>
  </si>
  <si>
    <t>ORDU B.B. İKİZCE ANADOLU İMAM HATİP LİSESİ</t>
  </si>
  <si>
    <t>MERKEZ MAH ADA CAD. İSMAİL COŞKUN SOK. NO:48 IKIZCE ORDU</t>
  </si>
  <si>
    <t>944428</t>
  </si>
  <si>
    <t>ÖZÖN AKARYAKIT SANAYİ VE TİCARET ANONİM ŞİRKETİ</t>
  </si>
  <si>
    <t>05446825555</t>
  </si>
  <si>
    <t>EĞERCİLİ MAH ATATÜRK BLV. NO:92/A ÇARSAMBA SAMSUN</t>
  </si>
  <si>
    <t>944897</t>
  </si>
  <si>
    <t>ŞİFA KURUMSAL (MÜNEVVER AYAŞLI KYK KIZ ÖĞRENCİ YURDU)</t>
  </si>
  <si>
    <t>944899</t>
  </si>
  <si>
    <t>ŞİFA KURUMSAL (SEYYİD İBRAHİM BİLAL KIZ ÖĞRENCİ YURDU)</t>
  </si>
  <si>
    <t>OSMANİYE KARAGÖL MAH (OSMANİYE KÖYÜ) ÜNİVERSİTE SOK. NO:81 MERKEZ SINOP</t>
  </si>
  <si>
    <t>944994</t>
  </si>
  <si>
    <t>AYTAŞ TAAH. MÜH. İNŞ. SAN. VE TİC. LTD. ŞTİ.</t>
  </si>
  <si>
    <t>05306656672</t>
  </si>
  <si>
    <t>KALEDERE MAH 20 TEMMEUZ SOKAK NO:6/A ÜNYE ORDU</t>
  </si>
  <si>
    <t>983020</t>
  </si>
  <si>
    <t>CİHAN KELEŞ ÇARŞAMBA AÇI ÖZEL ÖĞRETİM KURSU</t>
  </si>
  <si>
    <t>05051463555</t>
  </si>
  <si>
    <t>SARICALI MAH MESERRET SOK NO:1 ÇARSAMBA SAMSUN</t>
  </si>
  <si>
    <t>983152</t>
  </si>
  <si>
    <t>GALİP GÜNER GÜNER BÜFE</t>
  </si>
  <si>
    <t>05530818655</t>
  </si>
  <si>
    <t>ÇAY MAH ŞEYH ZEYNETTİN CAD. NO:183/2A TEKKEKÖY SAMSUN</t>
  </si>
  <si>
    <t>983221</t>
  </si>
  <si>
    <t>ORTA KARADENİZ UNLU MAMÜLLERİ İMALAT ANONİM ŞİRKETİ</t>
  </si>
  <si>
    <t>DEREBAHÇE MAH ŞEHİT MUSTAFA ZIVALI BLV. NO:18/1 ILKADIM SAMSUN</t>
  </si>
  <si>
    <t>215949</t>
  </si>
  <si>
    <t>BIM A.S. (3766 İSMETPAŞA SAMSUN)</t>
  </si>
  <si>
    <t>224703</t>
  </si>
  <si>
    <t>BIM A.S. (4029 HASTANEBAŞI SAMSUN)</t>
  </si>
  <si>
    <t>254442</t>
  </si>
  <si>
    <t>BIM A.S. (4827 DÖRTYOL-İLKADIM SAMSUN)</t>
  </si>
  <si>
    <t>262411</t>
  </si>
  <si>
    <t>BIM A.S. (4875 SELAHİYE-İLKADIM SAMSUN)</t>
  </si>
  <si>
    <t>271213</t>
  </si>
  <si>
    <t>BIM A.S. (5073 YENİDOĞAN-İLKADIM SAMSUN)</t>
  </si>
  <si>
    <t>277225</t>
  </si>
  <si>
    <t>BIM A.S. (5056 MESKENLER-İLKADIM SAMSUN)</t>
  </si>
  <si>
    <t>407091</t>
  </si>
  <si>
    <t>BIM A.S. (6637 YAŞARDOĞU İLKADIM SAMSUN)</t>
  </si>
  <si>
    <t>479660</t>
  </si>
  <si>
    <t>BIM A.S. (7681 KIŞLA SAMSUN)</t>
  </si>
  <si>
    <t>499744</t>
  </si>
  <si>
    <t>BIM A.S. (8117 ÖĞRETMENLER CADDESİ SAMSUN)</t>
  </si>
  <si>
    <t>526675</t>
  </si>
  <si>
    <t>BIM A.S. (8331 AZİZİYE İLKADIM SAMSUN)</t>
  </si>
  <si>
    <t>526676</t>
  </si>
  <si>
    <t>BIM A.S. (8421 HÜRRİYET İLKADIM SAMSUN)</t>
  </si>
  <si>
    <t>526677</t>
  </si>
  <si>
    <t>BIM A.S. (8425 İSTANBUL CAD. İLKADIM SAMSUN)</t>
  </si>
  <si>
    <t>535792</t>
  </si>
  <si>
    <t>BIM A.S. (8535 ÖZTUNA İLKADIM SAMSUN)</t>
  </si>
  <si>
    <t>564071</t>
  </si>
  <si>
    <t>BIM A.S. (A302 RASATHANE İLKADIM SAMSUN)</t>
  </si>
  <si>
    <t>568972</t>
  </si>
  <si>
    <t>BIM A.S. (A723 HANÇERLİ İLKADIM SAMSUN)</t>
  </si>
  <si>
    <t>568973</t>
  </si>
  <si>
    <t>BIM A.S. (A724 POLATLI İLKADIM SAMSUN)</t>
  </si>
  <si>
    <t>586634</t>
  </si>
  <si>
    <t>BIM A.S. (3509 19 MAYIS SAMSUN)</t>
  </si>
  <si>
    <t>586635</t>
  </si>
  <si>
    <t>BIM A.S. (1969 IRMAK \ SAMSUN)</t>
  </si>
  <si>
    <t>586636</t>
  </si>
  <si>
    <t>BIM A.S. (1880 KILIÇDEDE SAMSUN)</t>
  </si>
  <si>
    <t>586637</t>
  </si>
  <si>
    <t>BIM A.S. (1870 ELLİALTILAR SAMSUN)</t>
  </si>
  <si>
    <t>586638</t>
  </si>
  <si>
    <t>BIM A.S. (1872 İLYASKÖY SAMSUN)</t>
  </si>
  <si>
    <t>586639</t>
  </si>
  <si>
    <t>BIM A.S. (1891 KİREÇTEPE)</t>
  </si>
  <si>
    <t>586640</t>
  </si>
  <si>
    <t>BIM A.S. (1881 YUZUNCU YIL)</t>
  </si>
  <si>
    <t>586642</t>
  </si>
  <si>
    <t>BIM A.S. (1874 SAATHANE SAMSUN)</t>
  </si>
  <si>
    <t>586643</t>
  </si>
  <si>
    <t>BIM A.S. (1873 ÇİFTLİK SAMSUN)</t>
  </si>
  <si>
    <t>586644</t>
  </si>
  <si>
    <t>BIM A.S. (2555 UNKAPANI SAMSUN)</t>
  </si>
  <si>
    <t>586645</t>
  </si>
  <si>
    <t>BIM A.S. (2069 KADİFEKALE SAMSUN)</t>
  </si>
  <si>
    <t>586653</t>
  </si>
  <si>
    <t>BIM A.S. (3457 SUBAŞI SAMSUN)</t>
  </si>
  <si>
    <t>586654</t>
  </si>
  <si>
    <t>BIM A.S. (2335 BARIŞ SAMSUN)</t>
  </si>
  <si>
    <t>586656</t>
  </si>
  <si>
    <t>BIM A.S. (2377 FEVZİ ÇAKMAK SAMSUN)</t>
  </si>
  <si>
    <t>586658</t>
  </si>
  <si>
    <t>BIM A.S. (2590 SAADET SAMSUN)</t>
  </si>
  <si>
    <t>586659</t>
  </si>
  <si>
    <t>BIM A.S. (2670 ADALET SAMSUN)</t>
  </si>
  <si>
    <t>586660</t>
  </si>
  <si>
    <t>BIM A.S. (2811 KADIKÖY SAMSUN)</t>
  </si>
  <si>
    <t>621833</t>
  </si>
  <si>
    <t>BIM A.S. (B803 SİTELER İLKADIM SAMSUN)</t>
  </si>
  <si>
    <t>651826</t>
  </si>
  <si>
    <t>BIM A.S. (C585 TEPECİK İLKADIM SAMSUN)</t>
  </si>
  <si>
    <t>656727</t>
  </si>
  <si>
    <t>BIM A.S. (C694 CEDİT İLKADIM SAMSUN)</t>
  </si>
  <si>
    <t>674783</t>
  </si>
  <si>
    <t>BIM A.S. (D257 SAİTBEY İLKADIM SAMSUN)</t>
  </si>
  <si>
    <t>713852</t>
  </si>
  <si>
    <t>BIM A.S. (H621 ÇİFTE HAMAM İLKADIM SAMSUN)</t>
  </si>
  <si>
    <t>735350</t>
  </si>
  <si>
    <t>BIM A.S. (J869 GEBİ İLKADIM SAMSUN)</t>
  </si>
  <si>
    <t>779220</t>
  </si>
  <si>
    <t>BIM A.S. (O205 KAVACIK İLKADIM)</t>
  </si>
  <si>
    <t>801811</t>
  </si>
  <si>
    <t>BIM A.S. (P612 ÇAYIRLI İLKADIM)</t>
  </si>
  <si>
    <t>811539</t>
  </si>
  <si>
    <t>BIM A.S. (P953 MUHTEŞEM İLKADIM)</t>
  </si>
  <si>
    <t>818105</t>
  </si>
  <si>
    <t>BIM A.S. (H149 GENÇLİK CADDESİ İLKADIM SAMSUN)</t>
  </si>
  <si>
    <t>824690</t>
  </si>
  <si>
    <t>BIM A.S. (Q121 YENİCE)</t>
  </si>
  <si>
    <t>830363</t>
  </si>
  <si>
    <t>BIM A.S. (Q825 SANTRAL)</t>
  </si>
  <si>
    <t>852275</t>
  </si>
  <si>
    <t>BIM A.S. (Q911 ESENTEPE)</t>
  </si>
  <si>
    <t>854965</t>
  </si>
  <si>
    <t>BIM A.S. (Q982 ORHANELİ)</t>
  </si>
  <si>
    <t>869074</t>
  </si>
  <si>
    <t>BIM A.S. (R645 MİTHATPAŞA İLKADIM)</t>
  </si>
  <si>
    <t>869081</t>
  </si>
  <si>
    <t>BIM A.S. (R936 YEŞİLTEPE İLKADIM)</t>
  </si>
  <si>
    <t>869083</t>
  </si>
  <si>
    <t>BIM A.S. (T083 ODUNPAZARI İLKADIM)</t>
  </si>
  <si>
    <t>881093</t>
  </si>
  <si>
    <t>BIM A.S. (T462 SİNOP CADDESİ İLKADIM)</t>
  </si>
  <si>
    <t>901843</t>
  </si>
  <si>
    <t>BIM A.S. (T482 ANKARA BULVARI İLKADIM)</t>
  </si>
  <si>
    <t>908125</t>
  </si>
  <si>
    <t>BIM A.S. (T611 KUBA İLKADIM)</t>
  </si>
  <si>
    <t>908129</t>
  </si>
  <si>
    <t>BIM A.S. (T661 KIZILCIKDİBİ İLKADIM)</t>
  </si>
  <si>
    <t>912286</t>
  </si>
  <si>
    <t>BIM A.S. (T792 ZEYTİNLİK İLKADIM SAMSUN)</t>
  </si>
  <si>
    <t>917065</t>
  </si>
  <si>
    <t>BIM A.S. (U543 KESTEL İLKADIM SAMSUN)</t>
  </si>
  <si>
    <t>917107</t>
  </si>
  <si>
    <t>BIM A.S. (U577 ADLİYE İLKADIM SAMSUN)</t>
  </si>
  <si>
    <t>917223</t>
  </si>
  <si>
    <t>BIM A.S. (U707 KARADENİZ CADDESİ İLKADIM SAMSUN)</t>
  </si>
  <si>
    <t>935262</t>
  </si>
  <si>
    <t>BIM A.S. (V227 KARABEY İLKADIM)</t>
  </si>
  <si>
    <t>280288</t>
  </si>
  <si>
    <t>BIM A.S. (Q266 KALEDERE ÜNYE ORDU)</t>
  </si>
  <si>
    <t>280687</t>
  </si>
  <si>
    <t>BIM A.S. (K927 GEÇİT TERME SAMSUN)</t>
  </si>
  <si>
    <t>430932</t>
  </si>
  <si>
    <t>BIM A.S. (Q267 BETONYOL ÜNYE ORDU)</t>
  </si>
  <si>
    <t>526013</t>
  </si>
  <si>
    <t>BIM A.S. (K928 ATATÜRK CAD. TERME SAMSUN)</t>
  </si>
  <si>
    <t>586578</t>
  </si>
  <si>
    <t>BIM A.S. (Q264 SAHİL ÜNYE ORDU)</t>
  </si>
  <si>
    <t>586586</t>
  </si>
  <si>
    <t>BIM A.S. (Q272 ÇAMLIK ÜNYE ORDU)</t>
  </si>
  <si>
    <t>586589</t>
  </si>
  <si>
    <t>BIM A.S. (Q265 LİSELER ÜNYE ORDU)</t>
  </si>
  <si>
    <t>586597</t>
  </si>
  <si>
    <t>BIM A.S. (Q263 STADYUM ÜNYE ORDU)</t>
  </si>
  <si>
    <t>586602</t>
  </si>
  <si>
    <t>BIM A.S. (K926 TERME SAMSUN)</t>
  </si>
  <si>
    <t>605883</t>
  </si>
  <si>
    <t>BIM A.S. (Q268 İPEKYOLU ÜNYE ORDU)</t>
  </si>
  <si>
    <t>640285</t>
  </si>
  <si>
    <t>BIM A.S. (Q269 BAYRAMCA ÜNYE ORDU)</t>
  </si>
  <si>
    <t>640287</t>
  </si>
  <si>
    <t>BIM A.S. (K929 FENK TERME SAMSUN)</t>
  </si>
  <si>
    <t>643941</t>
  </si>
  <si>
    <t>BIM A.S. (Q273 ZAMBAK ÜNYE ORDU)</t>
  </si>
  <si>
    <t>674779</t>
  </si>
  <si>
    <t>BIM A.S. (Q270 SARAY ÜNYE ORDU)</t>
  </si>
  <si>
    <t>674781</t>
  </si>
  <si>
    <t>BIM A.S. (Q271 ÇINARLIK ÜNYE ORDU)</t>
  </si>
  <si>
    <t>675505</t>
  </si>
  <si>
    <t>BIM A.S. (Q275 İKİZCE ORDU)</t>
  </si>
  <si>
    <t>699534</t>
  </si>
  <si>
    <t>BIM A.S. (Q276 BURUNUCU ÜNYE ORDU)</t>
  </si>
  <si>
    <t>699535</t>
  </si>
  <si>
    <t>BIM A.S. (Q277 AKKUŞ ORDU)</t>
  </si>
  <si>
    <t>711264</t>
  </si>
  <si>
    <t>BIM A.S. (Q278 ÇAYBAŞI ORDU)</t>
  </si>
  <si>
    <t>712549</t>
  </si>
  <si>
    <t>BIM A.S. (Q279 İLKÜVEZ ÇAYBAŞI ORDU)</t>
  </si>
  <si>
    <t>736164</t>
  </si>
  <si>
    <t>BIM A.S. (Q280 SARAÇLI ÜNYE ORDU)</t>
  </si>
  <si>
    <t>738143</t>
  </si>
  <si>
    <t>BIM A.S. (Q281 HAMİDİYE ÜNYE ORDU)</t>
  </si>
  <si>
    <t>739944</t>
  </si>
  <si>
    <t>BIM A.S. (Q282 ÇEVREYOLU ÜNYE ORDU)</t>
  </si>
  <si>
    <t>749865</t>
  </si>
  <si>
    <t>BIM A.S. (Q283 OSMAN AKÇAY ÜNYE ORDU)</t>
  </si>
  <si>
    <t>761720</t>
  </si>
  <si>
    <t>BIM A.S. (Q284 ANAFARTALAR)</t>
  </si>
  <si>
    <t>769286</t>
  </si>
  <si>
    <t>BIM A.S. (Q285 PINAR ÜNYE)</t>
  </si>
  <si>
    <t>776055</t>
  </si>
  <si>
    <t>BIM A.S. (O084 HUZUR TERME)</t>
  </si>
  <si>
    <t>795099</t>
  </si>
  <si>
    <t>BIM A.S. (P371 KOCAMAN CADDESİ TERME)</t>
  </si>
  <si>
    <t>795393</t>
  </si>
  <si>
    <t>BIM A.S. (Q286 BÜYÜKHAMZA ÜNYE)</t>
  </si>
  <si>
    <t>807099</t>
  </si>
  <si>
    <t>BIM A.S. (P768 KOZLUK TERME)</t>
  </si>
  <si>
    <t>807100</t>
  </si>
  <si>
    <t>BIM A.S. (P766 SANAYİ BULVARI TERME)</t>
  </si>
  <si>
    <t>851734</t>
  </si>
  <si>
    <t>BIM A.S. (Q909 SOFRA)</t>
  </si>
  <si>
    <t>860253</t>
  </si>
  <si>
    <t>BIM A.S. (R510 YENİMAHALLE TERME)</t>
  </si>
  <si>
    <t>869078</t>
  </si>
  <si>
    <t>BIM A.S. (R834 UNİVERSİTE ÜNYE)</t>
  </si>
  <si>
    <t>869087</t>
  </si>
  <si>
    <t>BIM A.S. (R937 ÇAMURLU ÜNYE)</t>
  </si>
  <si>
    <t>906806</t>
  </si>
  <si>
    <t>BIM A.S. (T580 ÇAKIRTEPE ÜNYE)</t>
  </si>
  <si>
    <t>909379</t>
  </si>
  <si>
    <t>BIM A.S. (T501 ŞAHİN ÜNYE)</t>
  </si>
  <si>
    <t>912942</t>
  </si>
  <si>
    <t>BIM A.S. (T835 ERENLER ÜNYE ORDU)</t>
  </si>
  <si>
    <t>928015</t>
  </si>
  <si>
    <t>BIM A.S. (U891 SIHHIYE TERME SAMSUN)</t>
  </si>
  <si>
    <t>943996</t>
  </si>
  <si>
    <t>BIM A.S. (V591 GÜLPINAR TERME SAMSUN)</t>
  </si>
  <si>
    <t>254440</t>
  </si>
  <si>
    <t>BIM A.S. (Q376 25 MAYIS / HAVZA / SAMSUN)</t>
  </si>
  <si>
    <t>274136</t>
  </si>
  <si>
    <t>BIM A.S. (Q377 ÇAMLIK / VEZİRKÖPRÜ / SAMSUN)</t>
  </si>
  <si>
    <t>429682</t>
  </si>
  <si>
    <t>BIM A.S. (Q378 KÖPRÜ / VEZİRKÖPRÜ / SAMSUN)</t>
  </si>
  <si>
    <t>499699</t>
  </si>
  <si>
    <t>BIM A.S. (Q311 KAVAK / SAMSUN)</t>
  </si>
  <si>
    <t>564078</t>
  </si>
  <si>
    <t>BIM A.S. (Q379 TAŞKALE / VEZİRKÖPRÜ)</t>
  </si>
  <si>
    <t>588854</t>
  </si>
  <si>
    <t>BIM A.S. (Q375 İNÖNÜ / HAVZA / SAMSUN)</t>
  </si>
  <si>
    <t>588954</t>
  </si>
  <si>
    <t>BIM A.S. (Q381 LADİK / SAMSUN)</t>
  </si>
  <si>
    <t>604652</t>
  </si>
  <si>
    <t>BIM A.S. (Q327 SOĞUKSU / KAVAK)</t>
  </si>
  <si>
    <t>605877</t>
  </si>
  <si>
    <t>BIM A.S. (Q323 ASARCIK / SAMSUN)</t>
  </si>
  <si>
    <t>640296</t>
  </si>
  <si>
    <t>BIM A.S. (Q380 KAZIMPAŞA/HAVZA)</t>
  </si>
  <si>
    <t>749562</t>
  </si>
  <si>
    <t>BIM A.S. (Q382 ÜNİVERSİTE / VEZİRKÖPRÜ)</t>
  </si>
  <si>
    <t>772057</t>
  </si>
  <si>
    <t>BIM A.S. (Q383 VİŞNELİ / HAVZA / SAMSUN)</t>
  </si>
  <si>
    <t>783731</t>
  </si>
  <si>
    <t>BIM A.S. (Q384 100. YIL / VEZİRKÖPRÜ / SAMSUN)</t>
  </si>
  <si>
    <t>813818</t>
  </si>
  <si>
    <t>BIM A.S. (Q373 İSTASYON/KAVAK/SAMSUN)</t>
  </si>
  <si>
    <t>824492</t>
  </si>
  <si>
    <t>BIM A.S. (Q385 ÖMER HALİSDEMİR)</t>
  </si>
  <si>
    <t>828290</t>
  </si>
  <si>
    <t>BIM A.S. (Q624 BAHÇELİEVLER)</t>
  </si>
  <si>
    <t>854337</t>
  </si>
  <si>
    <t>BIM A.S. (Q976 MAHMUTLU KAVAK SAMSUN)</t>
  </si>
  <si>
    <t>875158</t>
  </si>
  <si>
    <t>BIM A.S. (T363 AMBARKÖY LADİK)</t>
  </si>
  <si>
    <t>905025</t>
  </si>
  <si>
    <t>BIM A.S. (T544 ÇAKALLI KAVAK)</t>
  </si>
  <si>
    <t>908578</t>
  </si>
  <si>
    <t>BIM A.S. (T594 HİSARCIK ASARCIK)</t>
  </si>
  <si>
    <t>910614</t>
  </si>
  <si>
    <t>BIM A.S. (T721 AKDAĞ LADİK SAMSUN)</t>
  </si>
  <si>
    <t>915923</t>
  </si>
  <si>
    <t>BIM A.S. (T979 OSMANGAZİ HAVZA SAMSUN)</t>
  </si>
  <si>
    <t>916042</t>
  </si>
  <si>
    <t>BIM A.S. (U048 YAŞARDOĞU KAVAK SAMSUN)</t>
  </si>
  <si>
    <t>918996</t>
  </si>
  <si>
    <t>BIM A.S. (U740 KARŞIYAKA HAVZA SAMSUN)</t>
  </si>
  <si>
    <t>929249</t>
  </si>
  <si>
    <t>BIM A.S. (U915 İCADİYE HAVZA SAMSUN)</t>
  </si>
  <si>
    <t>943185</t>
  </si>
  <si>
    <t>BIM A.S. (V523 YUVAKENT VEZİRKÖPRÜ SAMSUN)</t>
  </si>
  <si>
    <t>216923</t>
  </si>
  <si>
    <t>BIM A.S. (Q299 HACINABİ / BAFRA)</t>
  </si>
  <si>
    <t>254444</t>
  </si>
  <si>
    <t>BIM A.S. (Q301 GAZİPAŞA / BAFRA)</t>
  </si>
  <si>
    <t>329209</t>
  </si>
  <si>
    <t>BIM A.S. (Q303 BAKIRPINAR / BAFRA)</t>
  </si>
  <si>
    <t>448693</t>
  </si>
  <si>
    <t>BIM A.S. (Q308 TERMİNAL / BAFRA)</t>
  </si>
  <si>
    <t>540183</t>
  </si>
  <si>
    <t>BIM A.S. (Q313 EMİREFENDİ / BAFRA)</t>
  </si>
  <si>
    <t>554426</t>
  </si>
  <si>
    <t>BIM A.S. (Q316 BÜYÜK CAMİ / BAFRA)</t>
  </si>
  <si>
    <t>554430</t>
  </si>
  <si>
    <t>BIM A.S. (Q314 HÜKÜMET CD. / BAFRA)</t>
  </si>
  <si>
    <t>557817</t>
  </si>
  <si>
    <t>BIM A.S. (Q320 KAVAKPINAR / BAFRA)</t>
  </si>
  <si>
    <t>586332</t>
  </si>
  <si>
    <t>BIM A.S. (Q291 BEŞYOL / BAFRA)</t>
  </si>
  <si>
    <t>586333</t>
  </si>
  <si>
    <t>BIM A.S. (Q290 BAFRA / SAMSUN)</t>
  </si>
  <si>
    <t>586334</t>
  </si>
  <si>
    <t>BIM A.S. (Q292 KOLEJ / ATAKUM)</t>
  </si>
  <si>
    <t>586335</t>
  </si>
  <si>
    <t>BIM A.S. (Q324 PARK / BAFRA)</t>
  </si>
  <si>
    <t>586347</t>
  </si>
  <si>
    <t>BIM A.S. (Q293 ALTINYAPRAK / BAFRA)</t>
  </si>
  <si>
    <t>586351</t>
  </si>
  <si>
    <t>BIM A.S. (Q294 ENGİZ / 19 MAYIS)</t>
  </si>
  <si>
    <t>613369</t>
  </si>
  <si>
    <t>BIM A.S. (Q328 KUŞCENNETİ / 19 MAYIS)</t>
  </si>
  <si>
    <t>640294</t>
  </si>
  <si>
    <t>BIM A.S. (Q330 TRAFİK / BAFRA)</t>
  </si>
  <si>
    <t>652622</t>
  </si>
  <si>
    <t>BIM A.S. (Q332 BALLICA / 19 MAYIS)</t>
  </si>
  <si>
    <t>687125</t>
  </si>
  <si>
    <t>BIM A.S. (Q337 TAFLAN / ATAKUM)</t>
  </si>
  <si>
    <t>694337</t>
  </si>
  <si>
    <t>BIM A.S. (Q338 ŞAFAK / BAFRA)</t>
  </si>
  <si>
    <t>729675</t>
  </si>
  <si>
    <t>BIM A.S. (Q345 ÇİLHANE / BAFRA)</t>
  </si>
  <si>
    <t>729681</t>
  </si>
  <si>
    <t>BIM A.S. (Q342 SANAYİ / BAFRA)</t>
  </si>
  <si>
    <t>732337</t>
  </si>
  <si>
    <t>BIM A.S. (Q348 KURUPELİT / ATAKUM)</t>
  </si>
  <si>
    <t>733944</t>
  </si>
  <si>
    <t>BIM A.S. (Q350 PELİTKÖY / ATAKUM)</t>
  </si>
  <si>
    <t>746916</t>
  </si>
  <si>
    <t>BIM A.S. (Q353 KEMALPAŞA / BAFRA)</t>
  </si>
  <si>
    <t>760422</t>
  </si>
  <si>
    <t>BIM A.S. (Q354 GAZALİ / BAFRA)</t>
  </si>
  <si>
    <t>764826</t>
  </si>
  <si>
    <t>BIM A.S. (Q360 OYUMCA / ATAKUM)</t>
  </si>
  <si>
    <t>766052</t>
  </si>
  <si>
    <t>BIM A.S. (Q356 TATAROĞLU / BAFRA)</t>
  </si>
  <si>
    <t>768890</t>
  </si>
  <si>
    <t>BIM A.S. (Q363 GÖKTÜRK / BAFRA)</t>
  </si>
  <si>
    <t>793448</t>
  </si>
  <si>
    <t>BIM A.S. (Q367 SAMSUN CAD. / BAFRA)</t>
  </si>
  <si>
    <t>793540</t>
  </si>
  <si>
    <t>BIM A.S. (Q366 SAYGI / BAFRA)</t>
  </si>
  <si>
    <t>802307</t>
  </si>
  <si>
    <t>BIM A.S. (Q369 KÖRFEZ / ATAKUM)</t>
  </si>
  <si>
    <t>813925</t>
  </si>
  <si>
    <t>BIM A.S. (Q374 KIZILIRMAK BAFRA)</t>
  </si>
  <si>
    <t>824566</t>
  </si>
  <si>
    <t>BIM A.S. (Q475 DEDEDAĞA)</t>
  </si>
  <si>
    <t>830550</t>
  </si>
  <si>
    <t>BIM A.S. (Q821 KÖŞK)</t>
  </si>
  <si>
    <t>857094</t>
  </si>
  <si>
    <t>BIM A.S. (R082 FAKÜLTE)</t>
  </si>
  <si>
    <t>857980</t>
  </si>
  <si>
    <t>BIM A.S. (R141 ZAMBAK)</t>
  </si>
  <si>
    <t>857981</t>
  </si>
  <si>
    <t>BIM A.S. (R129 İSMETPAŞA)</t>
  </si>
  <si>
    <t>859210</t>
  </si>
  <si>
    <t>BIM A.S. (R219 LİSELER)</t>
  </si>
  <si>
    <t>861080</t>
  </si>
  <si>
    <t>BIM A.S. (R746 GÜZELYALI ATAKUM)</t>
  </si>
  <si>
    <t>861653</t>
  </si>
  <si>
    <t>BIM A.S. (R848 KAHRAMANLAR BAFRA)</t>
  </si>
  <si>
    <t>874391</t>
  </si>
  <si>
    <t>BIM A.S. (T160 ELÇİBEY BAFRA)</t>
  </si>
  <si>
    <t>912814</t>
  </si>
  <si>
    <t>BIM A.S. (T796 KARAKAVUK ATAKUM SAMSUN)</t>
  </si>
  <si>
    <t>916495</t>
  </si>
  <si>
    <t>BIM A.S. (U074 ÇATALÇAM ATAKUM)</t>
  </si>
  <si>
    <t>938959</t>
  </si>
  <si>
    <t>BIM A.S. (V370 İSHAKLI BAFRA SAMSUN)</t>
  </si>
  <si>
    <t>942084</t>
  </si>
  <si>
    <t>BIM A.S. (V371 MERCAN BAFRA SAMSUN)</t>
  </si>
  <si>
    <t>212755</t>
  </si>
  <si>
    <t>BIM A.S. (Q406 AŞIKLAR / SİNOP)</t>
  </si>
  <si>
    <t>254446</t>
  </si>
  <si>
    <t>BIM A.S. (Q307 YAKAKENT / SAMSUN)</t>
  </si>
  <si>
    <t>277978</t>
  </si>
  <si>
    <t>BIM A.S. (Q387 HAMİDİYE / GERZE)</t>
  </si>
  <si>
    <t>437132</t>
  </si>
  <si>
    <t>BIM A.S. (Q388 ERFELEK / SİNOP)</t>
  </si>
  <si>
    <t>520563</t>
  </si>
  <si>
    <t>BIM A.S. (Q407 SEYİT BİLAL / SİNOP)</t>
  </si>
  <si>
    <t>555896</t>
  </si>
  <si>
    <t>BIM A.S. (Q318 ÇEŞME / ALAÇAM)</t>
  </si>
  <si>
    <t>566101</t>
  </si>
  <si>
    <t>BIM A.S. (Q409 KUMSAL / SİNOP)</t>
  </si>
  <si>
    <t>586619</t>
  </si>
  <si>
    <t>BIM A.S. (Q402 GELİNCİK / SİNOP)</t>
  </si>
  <si>
    <t>586620</t>
  </si>
  <si>
    <t>BIM A.S. (Q405 MEYDAN / SİNOP)</t>
  </si>
  <si>
    <t>586623</t>
  </si>
  <si>
    <t>BIM A.S. (Q305 ALAÇAM / SAMSUN)</t>
  </si>
  <si>
    <t>586625</t>
  </si>
  <si>
    <t>BIM A.S. (Q386 GERZE / SİNOP)</t>
  </si>
  <si>
    <t>586631</t>
  </si>
  <si>
    <t>BIM A.S. (Q404 ZEYTİNLİK / SİNOP)</t>
  </si>
  <si>
    <t>651833</t>
  </si>
  <si>
    <t>BIM A.S. (Q410 ADA / SİNOP)</t>
  </si>
  <si>
    <t>655091</t>
  </si>
  <si>
    <t>BIM A.S. (Q389 HAL CADDESİ / GERZE)</t>
  </si>
  <si>
    <t>699533</t>
  </si>
  <si>
    <t>BIM A.S. (Q412 KALE SİNOP)</t>
  </si>
  <si>
    <t>738730</t>
  </si>
  <si>
    <t>BIM A.S. (Q352 ALPARSLAN / ALAÇAM)</t>
  </si>
  <si>
    <t>760425</t>
  </si>
  <si>
    <t>BIM A.S. (Q390 KARASU/ERFELEK/SİNOP)</t>
  </si>
  <si>
    <t>773614</t>
  </si>
  <si>
    <t>BIM A.S. (Q391 19 MAYIS / GERZE / SİNOP)</t>
  </si>
  <si>
    <t>773615</t>
  </si>
  <si>
    <t>BIM A.S. (Q392 DÖRTYOL/ GERZE)</t>
  </si>
  <si>
    <t>773616</t>
  </si>
  <si>
    <t>BIM A.S. (Q401 SAHİL SİNOP)</t>
  </si>
  <si>
    <t>786042</t>
  </si>
  <si>
    <t>BIM A.S. (Q413 HASTANE / SİNOP)</t>
  </si>
  <si>
    <t>851733</t>
  </si>
  <si>
    <t>BIM A.S. (Q903 AKLİMAN)</t>
  </si>
  <si>
    <t>857403</t>
  </si>
  <si>
    <t>BIM A.S. (R117 GEYİKKOŞAN)</t>
  </si>
  <si>
    <t>860838</t>
  </si>
  <si>
    <t>BIM A.S. (R721 GERZE EMNİYET)</t>
  </si>
  <si>
    <t>880022</t>
  </si>
  <si>
    <t>BIM A.S. (T441 ŞELALE ERFELEK)</t>
  </si>
  <si>
    <t>905024</t>
  </si>
  <si>
    <t>BIM A.S. (T540 DERSHANE SİNOP)</t>
  </si>
  <si>
    <t>908012</t>
  </si>
  <si>
    <t>BIM A.S. (T589 BARBAROS YAKAKENT)</t>
  </si>
  <si>
    <t>924082</t>
  </si>
  <si>
    <t>BIM A.S. (U812 DİKMEN SİNOP)</t>
  </si>
  <si>
    <t>926610</t>
  </si>
  <si>
    <t>BIM A.S. (U868 GENÇLİK CADDESİ GERZE SİNOP)</t>
  </si>
  <si>
    <t>271209</t>
  </si>
  <si>
    <t>BIM A.S. (5075 CANİK-CANİK SAMSUN)</t>
  </si>
  <si>
    <t>272878</t>
  </si>
  <si>
    <t>BIM A.S. (C663 BELEDİYE EVLERİ CANİK SAMSUN)</t>
  </si>
  <si>
    <t>336194</t>
  </si>
  <si>
    <t>BIM A.S. (6097 23NİSAN-TEKKEKÖY SAMSUN)</t>
  </si>
  <si>
    <t>527907</t>
  </si>
  <si>
    <t>BIM A.S. (H381 DEREBAHÇE İLKADIM SAMSUN)</t>
  </si>
  <si>
    <t>554428</t>
  </si>
  <si>
    <t>BIM A.S. (9097 GEDİZLİ CANİK SAMSUN)</t>
  </si>
  <si>
    <t>555892</t>
  </si>
  <si>
    <t>BIM A.S. (9086 TEKNEPINAR CANİK SAMSUN)</t>
  </si>
  <si>
    <t>586381</t>
  </si>
  <si>
    <t>BIM A.S. (3495 KARŞIYAKA SAMSUN)</t>
  </si>
  <si>
    <t>586509</t>
  </si>
  <si>
    <t>BIM A.S. (B827 TEKKEKÖY SAMSUN)</t>
  </si>
  <si>
    <t>586655</t>
  </si>
  <si>
    <t>BIM A.S. (8011 YETERKAYNAK CANİK SAMSUN)</t>
  </si>
  <si>
    <t>605881</t>
  </si>
  <si>
    <t>BIM A.S. (A809 HACI OSMAN TEKKEKÖY SAMSUN)</t>
  </si>
  <si>
    <t>619431</t>
  </si>
  <si>
    <t>BIM A.S. (B598 MEŞE TESİSLERİ CANİK SAMSUN)</t>
  </si>
  <si>
    <t>640289</t>
  </si>
  <si>
    <t>BIM A.S. (C111 KİRAZLIK TEKKEKÖY SAMSUN)</t>
  </si>
  <si>
    <t>674782</t>
  </si>
  <si>
    <t>BIM A.S. (D271 KUZEY YILDIZI CANİK SAMSUN)</t>
  </si>
  <si>
    <t>699531</t>
  </si>
  <si>
    <t>BIM A.S. (G310 KAFKAS İLKADIM SAMSUN)</t>
  </si>
  <si>
    <t>710538</t>
  </si>
  <si>
    <t>BIM A.S. (H441 HASKÖY CANİK SAMSUN)</t>
  </si>
  <si>
    <t>718497</t>
  </si>
  <si>
    <t>BIM A.S. (J570 AYDEDE CANİK SAMSUN)</t>
  </si>
  <si>
    <t>720406</t>
  </si>
  <si>
    <t>BIM A.S. (J604 KURTULUŞ TEKKEKÖY SAMSUN)</t>
  </si>
  <si>
    <t>723329</t>
  </si>
  <si>
    <t>BIM A.S. (J642 ULUDAĞ CANİK SAMSUN)</t>
  </si>
  <si>
    <t>735351</t>
  </si>
  <si>
    <t>BIM A.S. (J882 KÖPRÜBAŞI TEKKEKÖY SAMSUN)</t>
  </si>
  <si>
    <t>747832</t>
  </si>
  <si>
    <t>BIM A.S. (K520 KUTLUKENT TEKKEKÖY SAMSUN)</t>
  </si>
  <si>
    <t>760424</t>
  </si>
  <si>
    <t>BIM A.S. (L244 MAHMUDİYE)</t>
  </si>
  <si>
    <t>769287</t>
  </si>
  <si>
    <t>BIM A.S. (L695 YENİ AY İLKADIM)</t>
  </si>
  <si>
    <t>788677</t>
  </si>
  <si>
    <t>BIM A.S. (P174 BİRLİK TEKKEÖY)</t>
  </si>
  <si>
    <t>812738</t>
  </si>
  <si>
    <t>BIM A.S. (Q041 ZIVALI İLKADIM SAMSUN)</t>
  </si>
  <si>
    <t>823352</t>
  </si>
  <si>
    <t>BIM A.S. (Q579 ALTINTEPE CANİK SAMSUN)</t>
  </si>
  <si>
    <t>828149</t>
  </si>
  <si>
    <t>BIM A.S. (Q688 GÖKTÜRK)</t>
  </si>
  <si>
    <t>828473</t>
  </si>
  <si>
    <t>BIM A.S. (Q775 LOVELET)</t>
  </si>
  <si>
    <t>857977</t>
  </si>
  <si>
    <t>BIM A.S. (R122 ÇALIKUŞU)</t>
  </si>
  <si>
    <t>869075</t>
  </si>
  <si>
    <t>BIM A.S. (R647 ÜSKÜP CANİK)</t>
  </si>
  <si>
    <t>869084</t>
  </si>
  <si>
    <t>BIM A.S. (R990 EKİNCİ BULVARI TEKKEKÖY)</t>
  </si>
  <si>
    <t>908007</t>
  </si>
  <si>
    <t>BIM A.S. (T659 BÜYÜKLÜ TEKKEKÖY)</t>
  </si>
  <si>
    <t>912291</t>
  </si>
  <si>
    <t>BIM A.S. (T791 GÜZELDERE İLKADIM SAMSUN)</t>
  </si>
  <si>
    <t>912938</t>
  </si>
  <si>
    <t>BIM A.S. (T836 MELİKŞAH CANİK SAMSUN)</t>
  </si>
  <si>
    <t>925350</t>
  </si>
  <si>
    <t>BIM A.S. (U799 BAKİ ESEN TEKKEKÖY SAMSUN)</t>
  </si>
  <si>
    <t>925351</t>
  </si>
  <si>
    <t>BIM A.S. (U798 OSB TEKKEKÖY SAMSUN)</t>
  </si>
  <si>
    <t>479662</t>
  </si>
  <si>
    <t>BIM A.S. (7574 SALIPAZARI SAMSUN)</t>
  </si>
  <si>
    <t>535815</t>
  </si>
  <si>
    <t>BIM A.S. (8653 ORTA MAHALLE ÇARŞAMBA SAMSUN)</t>
  </si>
  <si>
    <t>555900</t>
  </si>
  <si>
    <t>BIM A.S. (A121 SUNGURLU ÇARŞAMBA SAMSUN)</t>
  </si>
  <si>
    <t>586513</t>
  </si>
  <si>
    <t>BIM A.S. (1871 ÇARŞAMBA SAMSUN)</t>
  </si>
  <si>
    <t>586517</t>
  </si>
  <si>
    <t>BIM A.S. (5456 KIZILAY-ÇARŞAMBA SAMSUN)</t>
  </si>
  <si>
    <t>586552</t>
  </si>
  <si>
    <t>BIM A.S. (2824 GÖĞCELİ ÇARŞAMBA SAMSUN)</t>
  </si>
  <si>
    <t>604650</t>
  </si>
  <si>
    <t>BIM A.S. (B263 SOFUOĞLU ÇARŞAMBA SAMSUN)</t>
  </si>
  <si>
    <t>605879</t>
  </si>
  <si>
    <t>BIM A.S. (A833 GÜLHANE PARK ÇARŞAMBA SAMSUN)</t>
  </si>
  <si>
    <t>675506</t>
  </si>
  <si>
    <t>BIM A.S. (D294 YEŞİLIRMAK ÇARŞAMBA)</t>
  </si>
  <si>
    <t>688308</t>
  </si>
  <si>
    <t>BIM A.S. (D872 AYVACIK SAMSUN)</t>
  </si>
  <si>
    <t>695848</t>
  </si>
  <si>
    <t>BIM A.S. (G797 ÇAY MAHALLESİ ÇARŞAMBA SAMSUN)</t>
  </si>
  <si>
    <t>708325</t>
  </si>
  <si>
    <t>BIM A.S. (H349 SARICALI ÇARŞAMBA SAMSUN)</t>
  </si>
  <si>
    <t>737915</t>
  </si>
  <si>
    <t>BIM A.S. (J963 YUNUS EMRE ÇARŞAMBA SAMSUN)</t>
  </si>
  <si>
    <t>746209</t>
  </si>
  <si>
    <t>BIM A.S. (K342 ASMAALTI ÇARŞAMBA SAMSUN)</t>
  </si>
  <si>
    <t>747461</t>
  </si>
  <si>
    <t>BIM A.S. (K290 DİKBIYIK ÇARŞAMBA SAMSUN)</t>
  </si>
  <si>
    <t>777574</t>
  </si>
  <si>
    <t>BIM A.S. (O142 HASANLI ÇARŞAMBA)</t>
  </si>
  <si>
    <t>777575</t>
  </si>
  <si>
    <t>BIM A.S. (O140 ADAPARK ÇARŞAMBA)</t>
  </si>
  <si>
    <t>781329</t>
  </si>
  <si>
    <t>BIM A.S. (O518 ÇARŞAMBA GAZİ MAHALLESİ)</t>
  </si>
  <si>
    <t>786483</t>
  </si>
  <si>
    <t>BIM A.S. (P129 MUSA PAŞA ÇARŞAMBA)</t>
  </si>
  <si>
    <t>812411</t>
  </si>
  <si>
    <t>BIM A.S. (Q015 BEREKET SALIPAZARI)</t>
  </si>
  <si>
    <t>825317</t>
  </si>
  <si>
    <t>BIM A.S. (P769 VEFA)</t>
  </si>
  <si>
    <t>869077</t>
  </si>
  <si>
    <t>BIM A.S. (R811 BARAJYOLU ÇARŞAMBA)</t>
  </si>
  <si>
    <t>869089</t>
  </si>
  <si>
    <t>BIM A.S. (R989 ÜÇKÖPRÜ ÇARŞAMBA)</t>
  </si>
  <si>
    <t>917112</t>
  </si>
  <si>
    <t>BIM A.S. (U588 AĞCAGÜNEY ÇARŞAMBA SAMSUN)</t>
  </si>
  <si>
    <t>921930</t>
  </si>
  <si>
    <t>BIM A.S. (U778 BULUTOĞLU ÇARŞAMBA SAMSUN)</t>
  </si>
  <si>
    <t>930324</t>
  </si>
  <si>
    <t>BIM A.S. (U926 HASBAHÇE ÇARŞAMBA SAMSUN)</t>
  </si>
  <si>
    <t>944622</t>
  </si>
  <si>
    <t>BIM A.S. (V623 ALLI ÇARŞAMBA SAMSUN)</t>
  </si>
  <si>
    <t>208292</t>
  </si>
  <si>
    <t>BIM A.S. (Q298 DOMANİÇ / ATAKUM)</t>
  </si>
  <si>
    <t>254551</t>
  </si>
  <si>
    <t>BIM A.S. (Q300 MİMAR SİNAN / ATAKUM)</t>
  </si>
  <si>
    <t>271211</t>
  </si>
  <si>
    <t>BIM A.S. (Q302 ESENEVLER / ATAKUM)</t>
  </si>
  <si>
    <t>328221</t>
  </si>
  <si>
    <t>BIM A.S. (Q304 YURTLAR / ATAKUM)</t>
  </si>
  <si>
    <t>407150</t>
  </si>
  <si>
    <t>BIM A.S. (Q306 CAĞALOĞLU / ATAKUM)</t>
  </si>
  <si>
    <t>492350</t>
  </si>
  <si>
    <t>BIM A.S. (T076 KALKANCA / İLKADIM)</t>
  </si>
  <si>
    <t>498046</t>
  </si>
  <si>
    <t>BIM A.S. (Q310 TAC MAHAL / ATAKUM)</t>
  </si>
  <si>
    <t>535906</t>
  </si>
  <si>
    <t>BIM A.S. (Q312 ALANLI / ATAKUM)</t>
  </si>
  <si>
    <t>554473</t>
  </si>
  <si>
    <t>BIM A.S. (Q317 SİMGE / ATAKUM)</t>
  </si>
  <si>
    <t>555889</t>
  </si>
  <si>
    <t>BIM A.S. (Q315 CUMHURİYET / ATAKUM)</t>
  </si>
  <si>
    <t>561362</t>
  </si>
  <si>
    <t>BIM A.S. (Q321 DERECİK / İLKADIM)</t>
  </si>
  <si>
    <t>568695</t>
  </si>
  <si>
    <t>BIM A.S. (T077 ÇINARCIK / İLKADIM)</t>
  </si>
  <si>
    <t>586646</t>
  </si>
  <si>
    <t>BIM A.S. (Q296 ZİRVE / ATAKUM)</t>
  </si>
  <si>
    <t>586648</t>
  </si>
  <si>
    <t>BIM A.S. (Q319 DENİZEVLERİ / ATAKUM)</t>
  </si>
  <si>
    <t>586649</t>
  </si>
  <si>
    <t>BIM A.S. (Q297 ATAKENT / ATAKUM)</t>
  </si>
  <si>
    <t>586650</t>
  </si>
  <si>
    <t>BIM A.S. (Q289 KANDİLLİ / ATAKUM)</t>
  </si>
  <si>
    <t>586652</t>
  </si>
  <si>
    <t>BIM A.S. (Q288 ÖMÜREVLERİ / ATAKUM)</t>
  </si>
  <si>
    <t>586661</t>
  </si>
  <si>
    <t>BIM A.S. (Q295 MEVLANA / ATAKUM)</t>
  </si>
  <si>
    <t>604572</t>
  </si>
  <si>
    <t>BIM A.S. (Q325 ÇOBANLI / ATAKUM)</t>
  </si>
  <si>
    <t>604640</t>
  </si>
  <si>
    <t>BIM A.S. (Q326 LOZAN / ATAKUM)</t>
  </si>
  <si>
    <t>619435</t>
  </si>
  <si>
    <t>BIM A.S. (Q329 HÜNKAR / ATAKUM)</t>
  </si>
  <si>
    <t>640288</t>
  </si>
  <si>
    <t>BIM A.S. (C172 ÇATALARMUT İLKADIM SAMSUN)</t>
  </si>
  <si>
    <t>676158</t>
  </si>
  <si>
    <t>BIM A.S. (Q334 KULELİ / ATAKUM)</t>
  </si>
  <si>
    <t>677500</t>
  </si>
  <si>
    <t>BIM A.S. (Q335 NİŞANTAŞI ATAKUM)</t>
  </si>
  <si>
    <t>684718</t>
  </si>
  <si>
    <t>BIM A.S. (Q336 VATAN CADDESİ / ATAKUM)</t>
  </si>
  <si>
    <t>694339</t>
  </si>
  <si>
    <t>BIM A.S. (Q339 EMEK / ATAKUM)</t>
  </si>
  <si>
    <t>710327</t>
  </si>
  <si>
    <t>BIM A.S. (Q340 KOLPINAR / ATAKUM)</t>
  </si>
  <si>
    <t>710537</t>
  </si>
  <si>
    <t>BIM A.S. (H442 30 AĞUSTOS İLKADIM SAMSUN)</t>
  </si>
  <si>
    <t>730521</t>
  </si>
  <si>
    <t>BIM A.S. (Q347 KIBRIS / ATAKUM)</t>
  </si>
  <si>
    <t>730522</t>
  </si>
  <si>
    <t>BIM A.S. (Q346 ATATEPE / ATAKUM)</t>
  </si>
  <si>
    <t>730908</t>
  </si>
  <si>
    <t>BIM A.S. (Q343 VALİ KONAĞI / ATAKUM)</t>
  </si>
  <si>
    <t>730909</t>
  </si>
  <si>
    <t>BIM A.S. (T078 AMİSOS / İLKADIM)</t>
  </si>
  <si>
    <t>732555</t>
  </si>
  <si>
    <t>BIM A.S. (Q349 AZERBEYCAN / ATAKUM)</t>
  </si>
  <si>
    <t>737916</t>
  </si>
  <si>
    <t>BIM A.S. (Q351 BORNOVA / ATAKUM)</t>
  </si>
  <si>
    <t>762438</t>
  </si>
  <si>
    <t>BIM A.S. (Q355 ATACİTY / ATAKUM)</t>
  </si>
  <si>
    <t>763454</t>
  </si>
  <si>
    <t>BIM A.S. (Q358 İSTİKLAL / ATAKUM)</t>
  </si>
  <si>
    <t>763507</t>
  </si>
  <si>
    <t>BIM A.S. (T079 ÇERKEZ ÇEŞMESİ / İLKADIM)</t>
  </si>
  <si>
    <t>763622</t>
  </si>
  <si>
    <t>BIM A.S. (Q359 GÖKDELEN / ATAKUM)</t>
  </si>
  <si>
    <t>766051</t>
  </si>
  <si>
    <t>BIM A.S. (Q361 BOĞAZİÇİ / ATAKUM)</t>
  </si>
  <si>
    <t>768887</t>
  </si>
  <si>
    <t>BIM A.S. (L614 KARA SAMSUN İLKADIM)</t>
  </si>
  <si>
    <t>768888</t>
  </si>
  <si>
    <t>BIM A.S. (Q362 TRAMVAY / ATAKUM)</t>
  </si>
  <si>
    <t>768889</t>
  </si>
  <si>
    <t>BIM A.S. (Q364 MİMOZA / ATAKUM)</t>
  </si>
  <si>
    <t>777153</t>
  </si>
  <si>
    <t>BIM A.S. (Q365 PAZARYERİ / ATAKUM)</t>
  </si>
  <si>
    <t>795100</t>
  </si>
  <si>
    <t>BIM A.S. (T080 BARUTHANE / İLKADIM)</t>
  </si>
  <si>
    <t>806719</t>
  </si>
  <si>
    <t>BIM A.S. (Q370 ŞEHİT ÜNAL CADDESİ / ATAKUM)</t>
  </si>
  <si>
    <t>810574</t>
  </si>
  <si>
    <t>BIM A.S. (Q371 KARACA / ATAKUM)</t>
  </si>
  <si>
    <t>824037</t>
  </si>
  <si>
    <t>BIM A.S. (Q554 DOĞUŞ)</t>
  </si>
  <si>
    <t>825090</t>
  </si>
  <si>
    <t>BIM A.S. (Q372 CAMİİ ALTI)</t>
  </si>
  <si>
    <t>830549</t>
  </si>
  <si>
    <t>BIM A.S. (Q822 KORUPARK)</t>
  </si>
  <si>
    <t>861083</t>
  </si>
  <si>
    <t>BIM A.S. (R764 BULVAR ATAKUM)</t>
  </si>
  <si>
    <t>861693</t>
  </si>
  <si>
    <t>BIM A.S. (R859 AKADEMİ ATAKUM)</t>
  </si>
  <si>
    <t>862896</t>
  </si>
  <si>
    <t>BIM A.S. (T008 PANORAMA ATAKUM)</t>
  </si>
  <si>
    <t>863697</t>
  </si>
  <si>
    <t>BIM A.S. (T085 SAMGAZ ATAKUM)</t>
  </si>
  <si>
    <t>869079</t>
  </si>
  <si>
    <t>BIM A.S. (T081 VADİ İLKADIM)</t>
  </si>
  <si>
    <t>878557</t>
  </si>
  <si>
    <t>BIM A.S. (T359 İZMİR CADDESİ ATAKUM)</t>
  </si>
  <si>
    <t>940323</t>
  </si>
  <si>
    <t>BIM A.S. (V403 BEYPINAR İLKADIM SAMSUN)</t>
  </si>
  <si>
    <t>828469</t>
  </si>
  <si>
    <t>BIM A.S. (Q773 BEYKOZ MİNİ)</t>
  </si>
  <si>
    <t>825319</t>
  </si>
  <si>
    <t>BIM A.S. (Q287 ONUR MİNİ)</t>
  </si>
  <si>
    <t>852342</t>
  </si>
  <si>
    <t>BIM A.S. (Q920 KOZAN MİNİ)</t>
  </si>
  <si>
    <t>640295</t>
  </si>
  <si>
    <t>BIM A.S. (Q331 BALAÇ / ATAKUM)</t>
  </si>
  <si>
    <t>674936</t>
  </si>
  <si>
    <t>BIM A.S. (Q333 MANOLYA / ATAKUM)</t>
  </si>
  <si>
    <t>746216</t>
  </si>
  <si>
    <t>BIM A.S. (K348 GÜZELDERE İLKADIM SAMSUN MİNİ)</t>
  </si>
  <si>
    <t>BALAÇ MH. R.TAYYİP ERDOĞAN BULVARI NO:133/A ATAKUM SAMSUN</t>
  </si>
  <si>
    <t>MİMARSİNAN MH. İSMET İNÖNÜ BULVARI NO:180/B ATAKUM SAMSUN</t>
  </si>
  <si>
    <t>FATİH MAH. ALAÇAM CAD. NO:228 A/B BAFRA SAMSUN</t>
  </si>
  <si>
    <t>DEREBAHÇE MAH 49.SOK  NO:18/13-14  ILKADIM SAMSUN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</si>
</sst>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0"/>
  </numFmts>
  <fonts count="3" x14ac:knownFonts="1">
    <font>
      <sz val="11"/>
      <name val="Calibri"/>
    </font>
    <font>
      <b/>
      <sz val="11"/>
      <color rgb="FFFFFFFF"/>
      <name val="Calibri"/>
    </font>
    <font>
      <sz val="11"/>
      <name val="Calibri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9FA4B4"/>
      </patternFill>
    </fill>
  </fills>
  <borders count="2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11">
    <xf numFmtId="0" fontId="0" fillId="0" borderId="0" xfId="0" applyNumberFormat="1" applyFont="1" applyProtection="1"/>
    <xf numFmtId="0" fontId="1" fillId="2" borderId="1" xfId="0" applyNumberFormat="1" applyFont="1" applyFill="1" applyBorder="1" applyProtection="1"/>
    <xf numFmtId="49" fontId="0" fillId="0" borderId="0" xfId="0" applyNumberFormat="1" applyFont="1" applyProtection="1"/>
    <xf numFmtId="4" fontId="0" fillId="0" borderId="0" xfId="0" applyNumberFormat="1" applyFont="1" applyProtection="1"/>
    <xf numFmtId="164" fontId="1" fillId="2" borderId="1" xfId="0" applyNumberFormat="1" applyFont="1" applyFill="1" applyBorder="1" applyProtection="1"/>
    <xf numFmtId="164" fontId="0" fillId="0" borderId="0" xfId="0" applyNumberFormat="1" applyFont="1" applyProtection="1"/>
    <xf numFmtId="0" fontId="0" fillId="0" borderId="0" xfId="0"/>
    <xf numFmtId="0" fontId="2" fillId="0" borderId="0" xfId="0" applyNumberFormat="1" applyFont="1" applyProtection="1"/>
    <xf numFmtId="0" fontId="1" fillId="2" borderId="1" xfId="0" applyNumberFormat="1" applyFont="1" applyFill="1" applyBorder="1" applyAlignment="1" applyProtection="1">
      <alignment horizontal="left"/>
    </xf>
    <xf numFmtId="49" fontId="0" fillId="0" borderId="0" xfId="0" applyNumberFormat="1" applyFont="1" applyAlignment="1" applyProtection="1">
      <alignment horizontal="left"/>
    </xf>
    <xf numFmtId="0" fontId="0" fillId="0" borderId="0" xfId="0" applyNumberFormat="1" applyFont="1" applyAlignment="1" applyProtection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rekansli%20Musteri%20Listesi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ekansli Musteri Listesi"/>
      <sheetName val="Sayfa1"/>
    </sheetNames>
    <sheetDataSet>
      <sheetData sheetId="0" refreshError="1"/>
      <sheetData sheetId="1">
        <row r="1">
          <cell r="G1" t="str">
            <v>Müsteri Kodu</v>
          </cell>
          <cell r="H1" t="str">
            <v>Kanal</v>
          </cell>
          <cell r="I1" t="str">
            <v>Müsteri Adi</v>
          </cell>
          <cell r="J1" t="str">
            <v>Müşteri Durumu</v>
          </cell>
          <cell r="K1" t="str">
            <v>Adres</v>
          </cell>
          <cell r="L1" t="str">
            <v>Ilçe</v>
          </cell>
          <cell r="M1" t="str">
            <v>İl</v>
          </cell>
        </row>
        <row r="2">
          <cell r="G2" t="str">
            <v>208292</v>
          </cell>
          <cell r="H2" t="str">
            <v>Bim</v>
          </cell>
          <cell r="I2" t="str">
            <v>BIM A.S. (Q298 DOMANİÇ / ATAKUM)</v>
          </cell>
          <cell r="J2" t="str">
            <v>Aktif</v>
          </cell>
          <cell r="K2" t="str">
            <v>CUMHURIYET MAH 23. SOK. NO:12 ATAKUM SAMSUN</v>
          </cell>
          <cell r="L2" t="str">
            <v>ATAKUM</v>
          </cell>
          <cell r="M2" t="str">
            <v>SAMSUN</v>
          </cell>
        </row>
        <row r="3">
          <cell r="G3" t="str">
            <v>586623</v>
          </cell>
          <cell r="H3" t="str">
            <v>Bim</v>
          </cell>
          <cell r="I3" t="str">
            <v>BIM A.S. (Q305 ALAÇAM / SAMSUN)</v>
          </cell>
          <cell r="J3" t="str">
            <v>Aktif</v>
          </cell>
          <cell r="K3" t="str">
            <v>ALPARSLAN MAH LİSE CAD. NO:48 ALAÇAM SAMSUN</v>
          </cell>
          <cell r="L3" t="str">
            <v>ALAÇAM</v>
          </cell>
          <cell r="M3" t="str">
            <v>SAMSUN</v>
          </cell>
        </row>
        <row r="4">
          <cell r="G4" t="str">
            <v>215949</v>
          </cell>
          <cell r="H4" t="str">
            <v>Bim</v>
          </cell>
          <cell r="I4" t="str">
            <v>BIM A.S. (3766 İSMETPAŞA SAMSUN)</v>
          </cell>
          <cell r="J4" t="str">
            <v>Aktif</v>
          </cell>
          <cell r="K4" t="str">
            <v>_ HÜRRİYET MAH. İSMETPAŞA CAD. NO:26/A-B SAMSUN(MERKEZ) SAMSUN</v>
          </cell>
          <cell r="L4" t="str">
            <v>SAMSUN(MERKEZ)</v>
          </cell>
          <cell r="M4" t="str">
            <v>SAMSUN</v>
          </cell>
        </row>
        <row r="5">
          <cell r="G5" t="str">
            <v>586334</v>
          </cell>
          <cell r="H5" t="str">
            <v>Bim</v>
          </cell>
          <cell r="I5" t="str">
            <v>BIM A.S. (Q292 KOLEJ / ATAKUM)</v>
          </cell>
          <cell r="J5" t="str">
            <v>Aktif</v>
          </cell>
          <cell r="K5" t="str">
            <v>ÇATALÇAM GÜZELYURT MH. ÇATALÇAM BUL. NO:2 19MAYIS SAMSUN</v>
          </cell>
          <cell r="L5" t="str">
            <v>19MAYIS</v>
          </cell>
          <cell r="M5" t="str">
            <v>SAMSUN</v>
          </cell>
        </row>
        <row r="6">
          <cell r="G6" t="str">
            <v>224703</v>
          </cell>
          <cell r="H6" t="str">
            <v>Bim</v>
          </cell>
          <cell r="I6" t="str">
            <v>BIM A.S. (4029 HASTANEBAŞI SAMSUN)</v>
          </cell>
          <cell r="J6" t="str">
            <v>Aktif</v>
          </cell>
          <cell r="K6" t="str">
            <v>GAZi ETEM PASA BULVARI NO:33 HASTANEBASI SAMSUN(MERKEZ) SAMSUN</v>
          </cell>
          <cell r="L6" t="str">
            <v>SAMSUN(MERKEZ)</v>
          </cell>
          <cell r="M6" t="str">
            <v>SAMSUN</v>
          </cell>
        </row>
        <row r="7">
          <cell r="G7" t="str">
            <v>254440</v>
          </cell>
          <cell r="H7" t="str">
            <v>Bim</v>
          </cell>
          <cell r="I7" t="str">
            <v>BIM A.S. (Q376 25 MAYIS / HAVZA / SAMSUN)</v>
          </cell>
          <cell r="J7" t="str">
            <v>Aktif</v>
          </cell>
          <cell r="K7" t="str">
            <v>25 MAYIS MAH. SEHiT YARBAY MESUT KURU CAD. 25 MAYIS iLKÖGRETiM OKULU KARSISI HAVZA SAMSUN</v>
          </cell>
          <cell r="L7" t="str">
            <v>HAVZA</v>
          </cell>
          <cell r="M7" t="str">
            <v>SAMSUN</v>
          </cell>
        </row>
        <row r="8">
          <cell r="G8" t="str">
            <v>254442</v>
          </cell>
          <cell r="H8" t="str">
            <v>Bim</v>
          </cell>
          <cell r="I8" t="str">
            <v>BIM A.S. (4827 DÖRTYOL-İLKADIM SAMSUN)</v>
          </cell>
          <cell r="J8" t="str">
            <v>Aktif</v>
          </cell>
          <cell r="K8" t="str">
            <v>ÇiFTLiK MH.100.YIL BULVARI.NO:235</v>
          </cell>
          <cell r="L8" t="str">
            <v>SAMSUN(MERKEZ)</v>
          </cell>
          <cell r="M8" t="str">
            <v>SAMSUN</v>
          </cell>
        </row>
        <row r="9">
          <cell r="G9" t="str">
            <v>586351</v>
          </cell>
          <cell r="H9" t="str">
            <v>Bim</v>
          </cell>
          <cell r="I9" t="str">
            <v>BIM A.S. (Q294 ENGİZ / 19 MAYIS)</v>
          </cell>
          <cell r="J9" t="str">
            <v>Aktif</v>
          </cell>
          <cell r="K9" t="str">
            <v>PAZAR MAH.ATATÜRK BUL. NO:161 19MAYIS SAMSUN</v>
          </cell>
          <cell r="L9" t="str">
            <v>19MAYIS</v>
          </cell>
          <cell r="M9" t="str">
            <v>SAMSUN</v>
          </cell>
        </row>
        <row r="10">
          <cell r="G10" t="str">
            <v>738730</v>
          </cell>
          <cell r="H10" t="str">
            <v>Bim</v>
          </cell>
          <cell r="I10" t="str">
            <v>BIM A.S. (Q352 ALPARSLAN / ALAÇAM)</v>
          </cell>
          <cell r="J10" t="str">
            <v>Aktif</v>
          </cell>
          <cell r="K10" t="str">
            <v>ALPARSLAN MAH. BAFRA CAD. NO:188 A-B ADRES KODU: 5051471935- 5027063980 ALAÇAM SAMSUN</v>
          </cell>
          <cell r="L10" t="str">
            <v>ALAÇAM</v>
          </cell>
          <cell r="M10" t="str">
            <v>SAMSUN</v>
          </cell>
        </row>
        <row r="11">
          <cell r="G11" t="str">
            <v>254551</v>
          </cell>
          <cell r="H11" t="str">
            <v>Bim</v>
          </cell>
          <cell r="I11" t="str">
            <v>BIM A.S. (Q300 MİMAR SİNAN / ATAKUM)</v>
          </cell>
          <cell r="J11" t="str">
            <v>Aktif</v>
          </cell>
          <cell r="K11" t="str">
            <v>MiMAR SiNAN MAH. 147. SK. NO:3 ATAKUM SAMSUN</v>
          </cell>
          <cell r="L11" t="str">
            <v>ATAKUM</v>
          </cell>
          <cell r="M11" t="str">
            <v>SAMSUN</v>
          </cell>
        </row>
        <row r="12">
          <cell r="G12" t="str">
            <v>262411</v>
          </cell>
          <cell r="H12" t="str">
            <v>Bim</v>
          </cell>
          <cell r="I12" t="str">
            <v>BIM A.S. (4875 SELAHİYE-İLKADIM SAMSUN)</v>
          </cell>
          <cell r="J12" t="str">
            <v>Aktif</v>
          </cell>
          <cell r="K12" t="str">
            <v>SELAHİYE MAH ESKİ POSTANE SOK. NO:43 ILKADIM SAMSUN</v>
          </cell>
          <cell r="L12" t="str">
            <v>ILKADIM</v>
          </cell>
          <cell r="M12" t="str">
            <v>SAMSUN</v>
          </cell>
        </row>
        <row r="13">
          <cell r="G13" t="str">
            <v>271209</v>
          </cell>
          <cell r="H13" t="str">
            <v>Bim</v>
          </cell>
          <cell r="I13" t="str">
            <v>BIM A.S. (5075 CANİK-CANİK SAMSUN)</v>
          </cell>
          <cell r="J13" t="str">
            <v>Aktif</v>
          </cell>
          <cell r="K13" t="str">
            <v>GAZİOSMANPASA MH. ŞEHİT MESUT 1.CD. NO:209 CANİK</v>
          </cell>
          <cell r="L13" t="str">
            <v>CANIK</v>
          </cell>
          <cell r="M13" t="str">
            <v>SAMSUN</v>
          </cell>
        </row>
        <row r="14">
          <cell r="G14" t="str">
            <v>271211</v>
          </cell>
          <cell r="H14" t="str">
            <v>Bim</v>
          </cell>
          <cell r="I14" t="str">
            <v>BIM A.S. (Q302 ESENEVLER / ATAKUM)</v>
          </cell>
          <cell r="J14" t="str">
            <v>Aktif</v>
          </cell>
          <cell r="K14" t="str">
            <v>ESENEVLER MAH. SEHİT ÜNAL CD. NO:41 ATAKUM SAMSUN</v>
          </cell>
          <cell r="L14" t="str">
            <v>ATAKUM</v>
          </cell>
          <cell r="M14" t="str">
            <v>SAMSUN</v>
          </cell>
        </row>
        <row r="15">
          <cell r="G15" t="str">
            <v>271213</v>
          </cell>
          <cell r="H15" t="str">
            <v>Bim</v>
          </cell>
          <cell r="I15" t="str">
            <v>BIM A.S. (5073 YENİDOĞAN-İLKADIM SAMSUN)</v>
          </cell>
          <cell r="J15" t="str">
            <v>Aktif</v>
          </cell>
          <cell r="K15" t="str">
            <v>YENİDOGAN MH. AKAGÜNDÜZ CD. NO:27 İLKADIM</v>
          </cell>
          <cell r="L15" t="str">
            <v>ILKADIM</v>
          </cell>
          <cell r="M15" t="str">
            <v>SAMSUN</v>
          </cell>
        </row>
        <row r="16">
          <cell r="G16" t="str">
            <v>272878</v>
          </cell>
          <cell r="H16" t="str">
            <v>Bim</v>
          </cell>
          <cell r="I16" t="str">
            <v>BIM A.S. (C663 BELEDİYE EVLERİ CANİK SAMSUN)</v>
          </cell>
          <cell r="J16" t="str">
            <v>Aktif</v>
          </cell>
          <cell r="K16" t="str">
            <v>BELEDİYE EVLERİ MH. C.TOPEL CD. NO:47/B CANIK SAMSUN</v>
          </cell>
          <cell r="L16" t="str">
            <v>CANIK</v>
          </cell>
          <cell r="M16" t="str">
            <v>SAMSUN</v>
          </cell>
        </row>
        <row r="17">
          <cell r="G17" t="str">
            <v>274136</v>
          </cell>
          <cell r="H17" t="str">
            <v>Bim</v>
          </cell>
          <cell r="I17" t="str">
            <v>BIM A.S. (Q377 ÇAMLIK / VEZİRKÖPRÜ / SAMSUN)</v>
          </cell>
          <cell r="J17" t="str">
            <v>Aktif</v>
          </cell>
          <cell r="K17" t="str">
            <v>CUMHURİYET MAH. GENÇLİK 5. CAD. NO:41 VEZIRKÖPRÜ SAMSUN</v>
          </cell>
          <cell r="L17" t="str">
            <v>VEZIRKÖPRÜ</v>
          </cell>
          <cell r="M17" t="str">
            <v>SAMSUN</v>
          </cell>
        </row>
        <row r="18">
          <cell r="G18" t="str">
            <v>277225</v>
          </cell>
          <cell r="H18" t="str">
            <v>Bim</v>
          </cell>
          <cell r="I18" t="str">
            <v>BIM A.S. (5056 MESKENLER-İLKADIM SAMSUN)</v>
          </cell>
          <cell r="J18" t="str">
            <v>Aktif</v>
          </cell>
          <cell r="K18" t="str">
            <v>ADALET MAH.KARADENİZ CD. NO:33 İLKADIM</v>
          </cell>
          <cell r="L18" t="str">
            <v>ILKADIM</v>
          </cell>
          <cell r="M18" t="str">
            <v>SAMSUN</v>
          </cell>
        </row>
        <row r="19">
          <cell r="G19" t="str">
            <v>555896</v>
          </cell>
          <cell r="H19" t="str">
            <v>Bim</v>
          </cell>
          <cell r="I19" t="str">
            <v>BIM A.S. (Q318 ÇEŞME / ALAÇAM)</v>
          </cell>
          <cell r="J19" t="str">
            <v>Aktif</v>
          </cell>
          <cell r="K19" t="str">
            <v>ÇEŞME MAH. ESKİ ŞUBE SOK. NO:16 ALAÇAM SAMSUN</v>
          </cell>
          <cell r="L19" t="str">
            <v>ALAÇAM</v>
          </cell>
          <cell r="M19" t="str">
            <v>SAMSUN</v>
          </cell>
        </row>
        <row r="20">
          <cell r="G20" t="str">
            <v>280288</v>
          </cell>
          <cell r="H20" t="str">
            <v>Bim</v>
          </cell>
          <cell r="I20" t="str">
            <v>BIM A.S. (Q266 KALEDERE ÜNYE ORDU)</v>
          </cell>
          <cell r="J20" t="str">
            <v>Aktif</v>
          </cell>
          <cell r="K20" t="str">
            <v>KALEDERE MAH. 20 TEMMUZ GEÇİDİ NO:15 / ÜNYE ORDU</v>
          </cell>
          <cell r="L20" t="str">
            <v>ÜNYE</v>
          </cell>
          <cell r="M20" t="str">
            <v>ORDU</v>
          </cell>
        </row>
        <row r="21">
          <cell r="G21" t="str">
            <v>280687</v>
          </cell>
          <cell r="H21" t="str">
            <v>Bim</v>
          </cell>
          <cell r="I21" t="str">
            <v>BIM A.S. (K927 GEÇİT TERME SAMSUN)</v>
          </cell>
          <cell r="J21" t="str">
            <v>Aktif</v>
          </cell>
          <cell r="K21" t="str">
            <v>ÇAY MAH. ÜNYE CAD. NO:29 TERME / SAMSUN</v>
          </cell>
          <cell r="L21" t="str">
            <v>TERME</v>
          </cell>
          <cell r="M21" t="str">
            <v>SAMSUN</v>
          </cell>
        </row>
        <row r="22">
          <cell r="G22" t="str">
            <v>328221</v>
          </cell>
          <cell r="H22" t="str">
            <v>Bim</v>
          </cell>
          <cell r="I22" t="str">
            <v>BIM A.S. (Q304 YURTLAR / ATAKUM)</v>
          </cell>
          <cell r="J22" t="str">
            <v>Aktif</v>
          </cell>
          <cell r="K22" t="str">
            <v>ESENEVLER MAH. ATATÜRK BUL. NO:135 / (MERKEZ) ATAKUM SAMSUN</v>
          </cell>
          <cell r="L22" t="str">
            <v>ATAKUM</v>
          </cell>
          <cell r="M22" t="str">
            <v>SAMSUN</v>
          </cell>
        </row>
        <row r="23">
          <cell r="G23" t="str">
            <v>652622</v>
          </cell>
          <cell r="H23" t="str">
            <v>Bim</v>
          </cell>
          <cell r="I23" t="str">
            <v>BIM A.S. (Q332 BALLICA / 19 MAYIS)</v>
          </cell>
          <cell r="J23" t="str">
            <v>Aktif</v>
          </cell>
          <cell r="K23" t="str">
            <v>PAZAR MH. ATATÜRK BUL. NO:185/A ADRES KODU : 2677021848 19MAYIS SAMSUN</v>
          </cell>
          <cell r="L23" t="str">
            <v>19MAYIS</v>
          </cell>
          <cell r="M23" t="str">
            <v>SAMSUN</v>
          </cell>
        </row>
        <row r="24">
          <cell r="G24" t="str">
            <v>336194</v>
          </cell>
          <cell r="H24" t="str">
            <v>Bim</v>
          </cell>
          <cell r="I24" t="str">
            <v>BIM A.S. (6097 23NİSAN-TEKKEKÖY SAMSUN)</v>
          </cell>
          <cell r="J24" t="str">
            <v>Aktif</v>
          </cell>
          <cell r="K24" t="str">
            <v>23 NİSAN MAH. HACI ALİ EKİNCİ SOK. NO:3 TEKKEKÖY SAMSUN</v>
          </cell>
          <cell r="L24" t="str">
            <v>TEKKEKÖY</v>
          </cell>
          <cell r="M24" t="str">
            <v>SAMSUN</v>
          </cell>
        </row>
        <row r="25">
          <cell r="G25" t="str">
            <v>407091</v>
          </cell>
          <cell r="H25" t="str">
            <v>Bim</v>
          </cell>
          <cell r="I25" t="str">
            <v>BIM A.S. (6637 YAŞARDOĞU İLKADIM SAMSUN)</v>
          </cell>
          <cell r="J25" t="str">
            <v>Aktif</v>
          </cell>
          <cell r="K25" t="str">
            <v>FEVZİ ÇAKMAK MAH. GAZİ ETHEM PAŞA BUL. NO:113 İLKADIM SAMSUN(MERKEZ) SAMSUN</v>
          </cell>
          <cell r="L25" t="str">
            <v>ILKADIM</v>
          </cell>
          <cell r="M25" t="str">
            <v>SAMSUN</v>
          </cell>
        </row>
        <row r="26">
          <cell r="G26" t="str">
            <v>407150</v>
          </cell>
          <cell r="H26" t="str">
            <v>Bim</v>
          </cell>
          <cell r="I26" t="str">
            <v>BIM A.S. (Q306 CAĞALOĞLU / ATAKUM)</v>
          </cell>
          <cell r="J26" t="str">
            <v>Aktif</v>
          </cell>
          <cell r="K26" t="str">
            <v>YENİ MH. ATAKENT BULV. NO:16 22/B ATAKUM SAMSUN</v>
          </cell>
          <cell r="L26" t="str">
            <v>ATAKUM</v>
          </cell>
          <cell r="M26" t="str">
            <v>SAMSUN</v>
          </cell>
        </row>
        <row r="27">
          <cell r="G27" t="str">
            <v>429682</v>
          </cell>
          <cell r="H27" t="str">
            <v>Bim</v>
          </cell>
          <cell r="I27" t="str">
            <v>BIM A.S. (Q378 KÖPRÜ / VEZİRKÖPRÜ / SAMSUN)</v>
          </cell>
          <cell r="J27" t="str">
            <v>Aktif</v>
          </cell>
          <cell r="K27" t="str">
            <v>FAZIL AHMET PAŞA MAH FAZIL MUSTAFA PAŞA CAD. NO:59 VEZIRKÖPRÜ SAMSUN</v>
          </cell>
          <cell r="L27" t="str">
            <v>VEZIRKÖPRÜ</v>
          </cell>
          <cell r="M27" t="str">
            <v>SAMSUN</v>
          </cell>
        </row>
        <row r="28">
          <cell r="G28" t="str">
            <v>430932</v>
          </cell>
          <cell r="H28" t="str">
            <v>Bim</v>
          </cell>
          <cell r="I28" t="str">
            <v>BIM A.S. (Q267 BETONYOL ÜNYE ORDU)</v>
          </cell>
          <cell r="J28" t="str">
            <v>Aktif</v>
          </cell>
          <cell r="K28" t="str">
            <v>LİSELER MAH. AKKUŞ-NİKSAR CAD. NO:189 ÜNYE ORDU</v>
          </cell>
          <cell r="L28" t="str">
            <v>ÜNYE</v>
          </cell>
          <cell r="M28" t="str">
            <v>ORDU</v>
          </cell>
        </row>
        <row r="29">
          <cell r="G29" t="str">
            <v>857403</v>
          </cell>
          <cell r="H29" t="str">
            <v>Bim</v>
          </cell>
          <cell r="I29" t="str">
            <v>BIM A.S. (R117 GEYİKKOŞAN)</v>
          </cell>
          <cell r="J29" t="str">
            <v>Aktif</v>
          </cell>
          <cell r="K29" t="str">
            <v>FATİH MAH GEYİKKOŞAN CAD. NO:20 ALAÇAM SAMSUN</v>
          </cell>
          <cell r="L29" t="str">
            <v>ALAÇAM</v>
          </cell>
          <cell r="M29" t="str">
            <v>SAMSUN</v>
          </cell>
        </row>
        <row r="30">
          <cell r="G30" t="str">
            <v>802307</v>
          </cell>
          <cell r="H30" t="str">
            <v>Bim</v>
          </cell>
          <cell r="I30" t="str">
            <v>BIM A.S. (Q369 KÖRFEZ / ATAKUM)</v>
          </cell>
          <cell r="J30" t="str">
            <v>Aktif</v>
          </cell>
          <cell r="K30" t="str">
            <v>KÖRFEZ MAH. ÇİLİNGİROĞLU CAD. NO:41A ASARCIK SAMSUN</v>
          </cell>
          <cell r="L30" t="str">
            <v>ASARCIK</v>
          </cell>
          <cell r="M30" t="str">
            <v>SAMSUN</v>
          </cell>
        </row>
        <row r="31">
          <cell r="G31" t="str">
            <v>479660</v>
          </cell>
          <cell r="H31" t="str">
            <v>Bim</v>
          </cell>
          <cell r="I31" t="str">
            <v>BIM A.S. (7681 KIŞLA SAMSUN)</v>
          </cell>
          <cell r="J31" t="str">
            <v>Aktif</v>
          </cell>
          <cell r="K31" t="str">
            <v>Kışla Mah. Uzun Mehmet Sok. NO:8/21 İlkadım</v>
          </cell>
          <cell r="L31" t="str">
            <v>SAMSUN(MERKEZ)</v>
          </cell>
          <cell r="M31" t="str">
            <v>SAMSUN</v>
          </cell>
        </row>
        <row r="32">
          <cell r="G32" t="str">
            <v>479662</v>
          </cell>
          <cell r="H32" t="str">
            <v>Bim</v>
          </cell>
          <cell r="I32" t="str">
            <v>BIM A.S. (7574 SALIPAZARI SAMSUN)</v>
          </cell>
          <cell r="J32" t="str">
            <v>Aktif</v>
          </cell>
          <cell r="K32" t="str">
            <v>Orta Mah. Musa Küçük Kurt Cad. NO:20 SalıpazarI</v>
          </cell>
          <cell r="L32" t="str">
            <v>SALIPAZARI</v>
          </cell>
          <cell r="M32" t="str">
            <v>SAMSUN</v>
          </cell>
        </row>
        <row r="33">
          <cell r="G33" t="str">
            <v>492350</v>
          </cell>
          <cell r="H33" t="str">
            <v>Bim</v>
          </cell>
          <cell r="I33" t="str">
            <v>BIM A.S. (T076 KALKANCA / İLKADIM)</v>
          </cell>
          <cell r="J33" t="str">
            <v>Aktif</v>
          </cell>
          <cell r="K33" t="str">
            <v>KARASAMSUN MAH 617 SOK. NO:5/C ILKADIM SAMSUN</v>
          </cell>
          <cell r="L33" t="str">
            <v>ILKADIM</v>
          </cell>
          <cell r="M33" t="str">
            <v>SAMSUN</v>
          </cell>
        </row>
        <row r="34">
          <cell r="G34" t="str">
            <v>498046</v>
          </cell>
          <cell r="H34" t="str">
            <v>Bim</v>
          </cell>
          <cell r="I34" t="str">
            <v>BIM A.S. (Q310 TAC MAHAL / ATAKUM)</v>
          </cell>
          <cell r="J34" t="str">
            <v>Aktif</v>
          </cell>
          <cell r="K34" t="str">
            <v>ESENEVLER MAH CAĞALOĞLU CAD. NO:17/1 ATAKUM SAMSUN</v>
          </cell>
          <cell r="L34" t="str">
            <v>ATAKUM</v>
          </cell>
          <cell r="M34" t="str">
            <v>SAMSUN</v>
          </cell>
        </row>
        <row r="35">
          <cell r="G35" t="str">
            <v>499699</v>
          </cell>
          <cell r="H35" t="str">
            <v>Bim</v>
          </cell>
          <cell r="I35" t="str">
            <v>BIM A.S. (Q311 KAVAK / SAMSUN)</v>
          </cell>
          <cell r="J35" t="str">
            <v>Aktif</v>
          </cell>
          <cell r="K35" t="str">
            <v>YAŞAR DOĞU MAH. ADNAN MENDERES CAD. NO:142/B KAVAK SAMSUN</v>
          </cell>
          <cell r="L35" t="str">
            <v>KAVAK</v>
          </cell>
          <cell r="M35" t="str">
            <v>SAMSUN</v>
          </cell>
        </row>
        <row r="36">
          <cell r="G36" t="str">
            <v>499744</v>
          </cell>
          <cell r="H36" t="str">
            <v>Bim</v>
          </cell>
          <cell r="I36" t="str">
            <v>BIM A.S. (8117 ÖĞRETMENLER CADDESİ SAMSUN)</v>
          </cell>
          <cell r="J36" t="str">
            <v>Aktif</v>
          </cell>
          <cell r="K36" t="str">
            <v>LİMAN MAH. ÖĞRETMENLER CAD. NO:25/3 ILKADIM SAMSUN</v>
          </cell>
          <cell r="L36" t="str">
            <v>ILKADIM</v>
          </cell>
          <cell r="M36" t="str">
            <v>SAMSUN</v>
          </cell>
        </row>
        <row r="37">
          <cell r="G37" t="str">
            <v>924082</v>
          </cell>
          <cell r="H37" t="str">
            <v>Bim</v>
          </cell>
          <cell r="I37" t="str">
            <v>BIM A.S. (U812 DİKMEN SİNOP)</v>
          </cell>
          <cell r="J37" t="str">
            <v>Aktif</v>
          </cell>
          <cell r="K37" t="str">
            <v>KIRÇAL MAH ŞEHİT GAFFAR OKKAN CAD. NO:39 DIKMEN SINOP</v>
          </cell>
          <cell r="L37" t="str">
            <v>DIKMEN</v>
          </cell>
          <cell r="M37" t="str">
            <v>SINOP</v>
          </cell>
        </row>
        <row r="38">
          <cell r="G38" t="str">
            <v>526013</v>
          </cell>
          <cell r="H38" t="str">
            <v>Bim</v>
          </cell>
          <cell r="I38" t="str">
            <v>BIM A.S. (K928 ATATÜRK CAD. TERME SAMSUN)</v>
          </cell>
          <cell r="J38" t="str">
            <v>Aktif</v>
          </cell>
          <cell r="K38" t="str">
            <v>FENK MH.ATATÜRK CD.NO:15/D  TERME SAMSUN</v>
          </cell>
          <cell r="L38" t="str">
            <v>TERME</v>
          </cell>
          <cell r="M38" t="str">
            <v>SAMSUN</v>
          </cell>
        </row>
        <row r="39">
          <cell r="G39" t="str">
            <v>526675</v>
          </cell>
          <cell r="H39" t="str">
            <v>Bim</v>
          </cell>
          <cell r="I39" t="str">
            <v>BIM A.S. (8331 AZİZİYE İLKADIM SAMSUN)</v>
          </cell>
          <cell r="J39" t="str">
            <v>Aktif</v>
          </cell>
          <cell r="K39" t="str">
            <v>İLYASKÖY MAH. AZİZİYE CAD. NO:223/1 ILKADIM SAMSUN</v>
          </cell>
          <cell r="L39" t="str">
            <v>ILKADIM</v>
          </cell>
          <cell r="M39" t="str">
            <v>SAMSUN</v>
          </cell>
        </row>
        <row r="40">
          <cell r="G40" t="str">
            <v>526676</v>
          </cell>
          <cell r="H40" t="str">
            <v>Bim</v>
          </cell>
          <cell r="I40" t="str">
            <v>BIM A.S. (8421 HÜRRİYET İLKADIM SAMSUN)</v>
          </cell>
          <cell r="J40" t="str">
            <v>Aktif</v>
          </cell>
          <cell r="K40" t="str">
            <v>KIRAN MAH. BARIŞ BUL. NO:32/1 ILKADIM SAMSUN</v>
          </cell>
          <cell r="L40" t="str">
            <v>ILKADIM</v>
          </cell>
          <cell r="M40" t="str">
            <v>SAMSUN</v>
          </cell>
        </row>
        <row r="41">
          <cell r="G41" t="str">
            <v>526677</v>
          </cell>
          <cell r="H41" t="str">
            <v>Bim</v>
          </cell>
          <cell r="I41" t="str">
            <v>BIM A.S. (8425 İSTANBUL CAD. İLKADIM SAMSUN)</v>
          </cell>
          <cell r="J41" t="str">
            <v>Aktif</v>
          </cell>
          <cell r="K41" t="str">
            <v>YAŞARDOĞU MAH. İSTANBUL CAD. NO:28/3 ILKADIM SAMSUN</v>
          </cell>
          <cell r="L41" t="str">
            <v>ILKADIM</v>
          </cell>
          <cell r="M41" t="str">
            <v>SAMSUN</v>
          </cell>
        </row>
        <row r="42">
          <cell r="G42" t="str">
            <v>527907</v>
          </cell>
          <cell r="H42" t="str">
            <v>Bim</v>
          </cell>
          <cell r="I42" t="str">
            <v>BIM A.S. (H381 DEREBAHÇE İLKADIM SAMSUN)</v>
          </cell>
          <cell r="J42" t="str">
            <v>Aktif</v>
          </cell>
          <cell r="K42" t="str">
            <v>DEREBAHÇE MH. BAHÇE SK. NO:13/1 ILKADIM SAMSUN</v>
          </cell>
          <cell r="L42" t="str">
            <v>ILKADIM</v>
          </cell>
          <cell r="M42" t="str">
            <v>SAMSUN</v>
          </cell>
        </row>
        <row r="43">
          <cell r="G43" t="str">
            <v>535792</v>
          </cell>
          <cell r="H43" t="str">
            <v>Bim</v>
          </cell>
          <cell r="I43" t="str">
            <v>BIM A.S. (8535 ÖZTUNA İLKADIM SAMSUN)</v>
          </cell>
          <cell r="J43" t="str">
            <v>Aktif</v>
          </cell>
          <cell r="K43" t="str">
            <v>BAHÇELİEVLER MAH. ÖZTUNA SOK. NO:7/3 ILKADIM SAMSUN</v>
          </cell>
          <cell r="L43" t="str">
            <v>ILKADIM</v>
          </cell>
          <cell r="M43" t="str">
            <v>SAMSUN</v>
          </cell>
        </row>
        <row r="44">
          <cell r="G44" t="str">
            <v>535815</v>
          </cell>
          <cell r="H44" t="str">
            <v>Bim</v>
          </cell>
          <cell r="I44" t="str">
            <v>BIM A.S. (8653 ORTA MAHALLE ÇARŞAMBA SAMSUN)</v>
          </cell>
          <cell r="J44" t="str">
            <v>Aktif</v>
          </cell>
          <cell r="K44" t="str">
            <v>ORTA MAH. DR. ORHAN ATILGAN CAD. NO:13/A   ÇARSAMBA SAMSUN</v>
          </cell>
          <cell r="L44" t="str">
            <v>ÇARSAMBA</v>
          </cell>
          <cell r="M44" t="str">
            <v>SAMSUN</v>
          </cell>
        </row>
        <row r="45">
          <cell r="G45" t="str">
            <v>535906</v>
          </cell>
          <cell r="H45" t="str">
            <v>Bim</v>
          </cell>
          <cell r="I45" t="str">
            <v>BIM A.S. (Q312 ALANLI / ATAKUM)</v>
          </cell>
          <cell r="J45" t="str">
            <v>Aktif</v>
          </cell>
          <cell r="K45" t="str">
            <v>YENİMAHALLE MAH. ATAKENT BULVARI BUL. NO:94-96/1 ATAKUM SAMSUN</v>
          </cell>
          <cell r="L45" t="str">
            <v>ATAKUM</v>
          </cell>
          <cell r="M45" t="str">
            <v>SAMSUN</v>
          </cell>
        </row>
        <row r="46">
          <cell r="G46" t="str">
            <v>733944</v>
          </cell>
          <cell r="H46" t="str">
            <v>Bim</v>
          </cell>
          <cell r="I46" t="str">
            <v>BIM A.S. (Q350 PELİTKÖY / ATAKUM)</v>
          </cell>
          <cell r="J46" t="str">
            <v>Aktif</v>
          </cell>
          <cell r="K46" t="str">
            <v>BÜYÜKOYUMCA MAH. TOPLU KONUT BULV. NO:156 A ADRES KODU:1412887638 ATAKUM SAMSUN</v>
          </cell>
          <cell r="L46" t="str">
            <v>ATAKUM</v>
          </cell>
          <cell r="M46" t="str">
            <v>SAMSUN</v>
          </cell>
        </row>
        <row r="47">
          <cell r="G47" t="str">
            <v>687125</v>
          </cell>
          <cell r="H47" t="str">
            <v>Bim</v>
          </cell>
          <cell r="I47" t="str">
            <v>BIM A.S. (Q337 TAFLAN / ATAKUM)</v>
          </cell>
          <cell r="J47" t="str">
            <v>Aktif</v>
          </cell>
          <cell r="K47" t="str">
            <v>CAMİİ MH. ATATÜRK 8. KISIM BLV. NO:72/A ADRES KODU:1589283140 ATAKUM SAMSUN</v>
          </cell>
          <cell r="L47" t="str">
            <v>ATAKUM</v>
          </cell>
          <cell r="M47" t="str">
            <v>SAMSUN</v>
          </cell>
        </row>
        <row r="48">
          <cell r="G48" t="str">
            <v>554428</v>
          </cell>
          <cell r="H48" t="str">
            <v>Bim</v>
          </cell>
          <cell r="I48" t="str">
            <v>BIM A.S. (9097 GEDİZLİ CANİK SAMSUN)</v>
          </cell>
          <cell r="J48" t="str">
            <v>Aktif</v>
          </cell>
          <cell r="K48" t="str">
            <v>BELEDİYE EVLERİ MAH. GEDİZLİ SOK. NO:1/1 CANIK SAMSUN</v>
          </cell>
          <cell r="L48" t="str">
            <v>CANIK</v>
          </cell>
          <cell r="M48" t="str">
            <v>SAMSUN</v>
          </cell>
        </row>
        <row r="49">
          <cell r="G49" t="str">
            <v>912814</v>
          </cell>
          <cell r="H49" t="str">
            <v>Bim</v>
          </cell>
          <cell r="I49" t="str">
            <v>BIM A.S. (T796 KARAKAVUK ATAKUM SAMSUN)</v>
          </cell>
          <cell r="J49" t="str">
            <v>Aktif</v>
          </cell>
          <cell r="K49" t="str">
            <v>ÇAKIRLAR MAH ATATÜRK 6.KISIM BULV. NO:395/A ATAKUM SAMSUN</v>
          </cell>
          <cell r="L49" t="str">
            <v>ATAKUM</v>
          </cell>
          <cell r="M49" t="str">
            <v>SAMSUN</v>
          </cell>
        </row>
        <row r="50">
          <cell r="G50" t="str">
            <v>554473</v>
          </cell>
          <cell r="H50" t="str">
            <v>Bim</v>
          </cell>
          <cell r="I50" t="str">
            <v>BIM A.S. (Q317 SİMGE / ATAKUM)</v>
          </cell>
          <cell r="J50" t="str">
            <v>Aktif</v>
          </cell>
          <cell r="K50" t="str">
            <v>MİMARSİNAN MAH ABDULLAH GÜL BULV. NO:68/A ATAKUM SAMSUN</v>
          </cell>
          <cell r="L50" t="str">
            <v>ATAKUM</v>
          </cell>
          <cell r="M50" t="str">
            <v>SAMSUN</v>
          </cell>
        </row>
        <row r="51">
          <cell r="G51" t="str">
            <v>555889</v>
          </cell>
          <cell r="H51" t="str">
            <v>Bim</v>
          </cell>
          <cell r="I51" t="str">
            <v>BIM A.S. (Q315 CUMHURİYET / ATAKUM)</v>
          </cell>
          <cell r="J51" t="str">
            <v>Aktif</v>
          </cell>
          <cell r="K51" t="str">
            <v>CUMHURİYET MAH. AZERBEYCAN CAD. NO:92/2 ATAKUM SAMSUN</v>
          </cell>
          <cell r="L51" t="str">
            <v>ATAKUM</v>
          </cell>
          <cell r="M51" t="str">
            <v>SAMSUN</v>
          </cell>
        </row>
        <row r="52">
          <cell r="G52" t="str">
            <v>555892</v>
          </cell>
          <cell r="H52" t="str">
            <v>Bim</v>
          </cell>
          <cell r="I52" t="str">
            <v>BIM A.S. (9086 TEKNEPINAR CANİK SAMSUN)</v>
          </cell>
          <cell r="J52" t="str">
            <v>Aktif</v>
          </cell>
          <cell r="K52" t="str">
            <v>TEKNEPINAR MAH. YENİ SOK. NO:192/1 CANIK SAMSUN</v>
          </cell>
          <cell r="L52" t="str">
            <v>CANIK</v>
          </cell>
          <cell r="M52" t="str">
            <v>SAMSUN</v>
          </cell>
        </row>
        <row r="53">
          <cell r="G53" t="str">
            <v>880022</v>
          </cell>
          <cell r="H53" t="str">
            <v>Bim</v>
          </cell>
          <cell r="I53" t="str">
            <v>BIM A.S. (T441 ŞELALE ERFELEK)</v>
          </cell>
          <cell r="J53" t="str">
            <v>Aktif</v>
          </cell>
          <cell r="K53" t="str">
            <v>MERKEZ MAH YURT SOK. NO:1A ERFELEK SINOP</v>
          </cell>
          <cell r="L53" t="str">
            <v>ERFELEK</v>
          </cell>
          <cell r="M53" t="str">
            <v>SINOP</v>
          </cell>
        </row>
        <row r="54">
          <cell r="G54" t="str">
            <v>555900</v>
          </cell>
          <cell r="H54" t="str">
            <v>Bim</v>
          </cell>
          <cell r="I54" t="str">
            <v>BIM A.S. (A121 SUNGURLU ÇARŞAMBA SAMSUN)</v>
          </cell>
          <cell r="J54" t="str">
            <v>Aktif</v>
          </cell>
          <cell r="K54" t="str">
            <v>SUNGURLU  MAH. YENİ SAMSUN CAD. NO:81/A ÇARSAMBA SAMSUN</v>
          </cell>
          <cell r="L54" t="str">
            <v>ÇARSAMBA</v>
          </cell>
          <cell r="M54" t="str">
            <v>SAMSUN</v>
          </cell>
        </row>
        <row r="55">
          <cell r="G55" t="str">
            <v>861080</v>
          </cell>
          <cell r="H55" t="str">
            <v>Bim</v>
          </cell>
          <cell r="I55" t="str">
            <v>BIM A.S. (R746 GÜZELYALI ATAKUM)</v>
          </cell>
          <cell r="J55" t="str">
            <v>Aktif</v>
          </cell>
          <cell r="K55" t="str">
            <v>GÜZELYALI MAH ADNAN MENDERES 2. KISIM BULVARI NO:97/A ATAKUM SAMSUN</v>
          </cell>
          <cell r="L55" t="str">
            <v>ATAKUM</v>
          </cell>
          <cell r="M55" t="str">
            <v>SAMSUN</v>
          </cell>
        </row>
        <row r="56">
          <cell r="G56" t="str">
            <v>561362</v>
          </cell>
          <cell r="H56" t="str">
            <v>Bim</v>
          </cell>
          <cell r="I56" t="str">
            <v>BIM A.S. (Q321 DERECİK / İLKADIM)</v>
          </cell>
          <cell r="J56" t="str">
            <v>Aktif</v>
          </cell>
          <cell r="K56" t="str">
            <v>DERECİK MAH CUMHURİYET CAD. NO:38/1 ILKADIM SAMSUN</v>
          </cell>
          <cell r="L56" t="str">
            <v>ILKADIM</v>
          </cell>
          <cell r="M56" t="str">
            <v>SAMSUN</v>
          </cell>
        </row>
        <row r="57">
          <cell r="G57" t="str">
            <v>564071</v>
          </cell>
          <cell r="H57" t="str">
            <v>Bim</v>
          </cell>
          <cell r="I57" t="str">
            <v>BIM A.S. (A302 RASATHANE İLKADIM SAMSUN)</v>
          </cell>
          <cell r="J57" t="str">
            <v>Aktif</v>
          </cell>
          <cell r="K57" t="str">
            <v>RASATHANE MAH. KURTULUŞ SOK. NO:24 ILKADIM SAMSUN</v>
          </cell>
          <cell r="L57" t="str">
            <v>ILKADIM</v>
          </cell>
          <cell r="M57" t="str">
            <v>SAMSUN</v>
          </cell>
        </row>
        <row r="58">
          <cell r="G58" t="str">
            <v>564078</v>
          </cell>
          <cell r="H58" t="str">
            <v>Bim</v>
          </cell>
          <cell r="I58" t="str">
            <v>BIM A.S. (Q379 TAŞKALE / VEZİRKÖPRÜ)</v>
          </cell>
          <cell r="J58" t="str">
            <v>Aktif</v>
          </cell>
          <cell r="K58" t="str">
            <v>ATATÜRK MAH.KÖPRÜLÜLER CAD.NO:123 VEZIRKÖPRÜ SAMSUN</v>
          </cell>
          <cell r="L58" t="str">
            <v>VEZIRKÖPRÜ</v>
          </cell>
          <cell r="M58" t="str">
            <v>SAMSUN</v>
          </cell>
        </row>
        <row r="59">
          <cell r="G59" t="str">
            <v>760425</v>
          </cell>
          <cell r="H59" t="str">
            <v>Bim</v>
          </cell>
          <cell r="I59" t="str">
            <v>BIM A.S. (Q390 KARASU/ERFELEK/SİNOP)</v>
          </cell>
          <cell r="J59" t="str">
            <v>Aktif</v>
          </cell>
          <cell r="K59" t="str">
            <v>MERKEZ MAH. ATATÜRK CAD. NO:15/1 ERFELEK SINOP</v>
          </cell>
          <cell r="L59" t="str">
            <v>ERFELEK</v>
          </cell>
          <cell r="M59" t="str">
            <v>SINOP</v>
          </cell>
        </row>
        <row r="60">
          <cell r="G60" t="str">
            <v>568695</v>
          </cell>
          <cell r="H60" t="str">
            <v>Bim</v>
          </cell>
          <cell r="I60" t="str">
            <v>BIM A.S. (T077 ÇINARCIK / İLKADIM)</v>
          </cell>
          <cell r="J60" t="str">
            <v>Aktif</v>
          </cell>
          <cell r="K60" t="str">
            <v>KALKANCI MAH.293.SK.NO:1B/1 ILKADIM SAMSUN</v>
          </cell>
          <cell r="L60" t="str">
            <v>ILKADIM</v>
          </cell>
          <cell r="M60" t="str">
            <v>SAMSUN</v>
          </cell>
        </row>
        <row r="61">
          <cell r="G61" t="str">
            <v>568972</v>
          </cell>
          <cell r="H61" t="str">
            <v>Bim</v>
          </cell>
          <cell r="I61" t="str">
            <v>BIM A.S. (A723 HANÇERLİ İLKADIM SAMSUN)</v>
          </cell>
          <cell r="J61" t="str">
            <v>Aktif</v>
          </cell>
          <cell r="K61" t="str">
            <v>HANÇERLİ MAH. NECATİ EFENDİ SOK. NO:111/1 ILKADIM SAMSUN</v>
          </cell>
          <cell r="L61" t="str">
            <v>ILKADIM</v>
          </cell>
          <cell r="M61" t="str">
            <v>SAMSUN</v>
          </cell>
        </row>
        <row r="62">
          <cell r="G62" t="str">
            <v>568973</v>
          </cell>
          <cell r="H62" t="str">
            <v>Bim</v>
          </cell>
          <cell r="I62" t="str">
            <v>BIM A.S. (A724 POLATLI İLKADIM SAMSUN)</v>
          </cell>
          <cell r="J62" t="str">
            <v>Aktif</v>
          </cell>
          <cell r="K62" t="str">
            <v>KIŞLA MAH. POLATLI BUL. NO:29/1 ILKADIM SAMSUN</v>
          </cell>
          <cell r="L62" t="str">
            <v>ILKADIM</v>
          </cell>
          <cell r="M62" t="str">
            <v>SAMSUN</v>
          </cell>
        </row>
        <row r="63">
          <cell r="G63" t="str">
            <v>916495</v>
          </cell>
          <cell r="H63" t="str">
            <v>Bim</v>
          </cell>
          <cell r="I63" t="str">
            <v>BIM A.S. (U074 ÇATALÇAM ATAKUM)</v>
          </cell>
          <cell r="J63" t="str">
            <v>Aktif</v>
          </cell>
          <cell r="K63" t="str">
            <v>GÜZELYURT MAH ATATÜRK 7.KISIM BULV. NO:62 ATAKUM SAMSUN</v>
          </cell>
          <cell r="L63" t="str">
            <v>ATAKUM</v>
          </cell>
          <cell r="M63" t="str">
            <v>SAMSUN</v>
          </cell>
        </row>
        <row r="64">
          <cell r="G64" t="str">
            <v>857094</v>
          </cell>
          <cell r="H64" t="str">
            <v>Bim</v>
          </cell>
          <cell r="I64" t="str">
            <v>BIM A.S. (R082 FAKÜLTE)</v>
          </cell>
          <cell r="J64" t="str">
            <v>Aktif</v>
          </cell>
          <cell r="K64" t="str">
            <v>KÖRFEZ MAH ATATÜRK 5. KISIM BULVARI NO:144A ATAKUM SAMSUN</v>
          </cell>
          <cell r="L64" t="str">
            <v>ATAKUM</v>
          </cell>
          <cell r="M64" t="str">
            <v>SAMSUN</v>
          </cell>
        </row>
        <row r="65">
          <cell r="G65" t="str">
            <v>764826</v>
          </cell>
          <cell r="H65" t="str">
            <v>Bim</v>
          </cell>
          <cell r="I65" t="str">
            <v>BIM A.S. (Q360 OYUMCA / ATAKUM)</v>
          </cell>
          <cell r="J65" t="str">
            <v>Aktif</v>
          </cell>
          <cell r="K65" t="str">
            <v>KÖRFEZ MAH. AZİZ IŞIK BULVARI NO:33 A-B ATAKUM SAMSUN</v>
          </cell>
          <cell r="L65" t="str">
            <v>ATAKUM</v>
          </cell>
          <cell r="M65" t="str">
            <v>SAMSUN</v>
          </cell>
        </row>
        <row r="66">
          <cell r="G66" t="str">
            <v>732337</v>
          </cell>
          <cell r="H66" t="str">
            <v>Bim</v>
          </cell>
          <cell r="I66" t="str">
            <v>BIM A.S. (Q348 KURUPELİT / ATAKUM)</v>
          </cell>
          <cell r="J66" t="str">
            <v>Aktif</v>
          </cell>
          <cell r="K66" t="str">
            <v>KÖRFEZ MAH. TOPLU KONUT BUL. TELLİOĞLU APT. NO:1A 364121531 ATAKUM SAMSUN</v>
          </cell>
          <cell r="L66" t="str">
            <v>ATAKUM</v>
          </cell>
          <cell r="M66" t="str">
            <v>SAMSUN</v>
          </cell>
        </row>
        <row r="67">
          <cell r="G67" t="str">
            <v>586332</v>
          </cell>
          <cell r="H67" t="str">
            <v>Bim</v>
          </cell>
          <cell r="I67" t="str">
            <v>BIM A.S. (Q291 BEŞYOL / BAFRA)</v>
          </cell>
          <cell r="J67" t="str">
            <v>Aktif</v>
          </cell>
          <cell r="K67" t="str">
            <v>ALAÇAM CD. NO:93 BAFRA SAMSUN</v>
          </cell>
          <cell r="L67" t="str">
            <v>BAFRA</v>
          </cell>
          <cell r="M67" t="str">
            <v>SAMSUN</v>
          </cell>
        </row>
        <row r="68">
          <cell r="G68" t="str">
            <v>793448</v>
          </cell>
          <cell r="H68" t="str">
            <v>Bim</v>
          </cell>
          <cell r="I68" t="str">
            <v>BIM A.S. (Q367 SAMSUN CAD. / BAFRA)</v>
          </cell>
          <cell r="J68" t="str">
            <v>Aktif</v>
          </cell>
          <cell r="K68" t="str">
            <v>ALPARSLAN MAH. CAD. NO:52/ B BAFRA SAMSUN</v>
          </cell>
          <cell r="L68" t="str">
            <v>BAFRA</v>
          </cell>
          <cell r="M68" t="str">
            <v>SAMSUN</v>
          </cell>
        </row>
        <row r="69">
          <cell r="G69" t="str">
            <v>586381</v>
          </cell>
          <cell r="H69" t="str">
            <v>Bim</v>
          </cell>
          <cell r="I69" t="str">
            <v>BIM A.S. (3495 KARŞIYAKA SAMSUN)</v>
          </cell>
          <cell r="J69" t="str">
            <v>Aktif</v>
          </cell>
          <cell r="K69" t="str">
            <v>_ KARŞIYAKA MAH. 315. SOK. SAMSUN(MERKEZ) SAMSUN</v>
          </cell>
          <cell r="L69" t="str">
            <v>SAMSUN(MERKEZ)</v>
          </cell>
          <cell r="M69" t="str">
            <v>SAMSUN</v>
          </cell>
        </row>
        <row r="70">
          <cell r="G70" t="str">
            <v>586509</v>
          </cell>
          <cell r="H70" t="str">
            <v>Bim</v>
          </cell>
          <cell r="I70" t="str">
            <v>BIM A.S. (B827 TEKKEKÖY SAMSUN)</v>
          </cell>
          <cell r="J70" t="str">
            <v>Aktif</v>
          </cell>
          <cell r="K70" t="str">
            <v>KURTULUŞ MH. ŞEYH ZEYNETTİN CD. NO:28/1   TEKKEKÖY SAMSUN</v>
          </cell>
          <cell r="L70" t="str">
            <v>TEKKEKÖY</v>
          </cell>
          <cell r="M70" t="str">
            <v>SAMSUN</v>
          </cell>
        </row>
        <row r="71">
          <cell r="G71" t="str">
            <v>586513</v>
          </cell>
          <cell r="H71" t="str">
            <v>Bim</v>
          </cell>
          <cell r="I71" t="str">
            <v>BIM A.S. (1871 ÇARŞAMBA SAMSUN)</v>
          </cell>
          <cell r="J71" t="str">
            <v>Aktif</v>
          </cell>
          <cell r="K71" t="str">
            <v>SARICALI MAH. MESERRET SK. NO:27 ZEMİNKAT ÇARSAMBA SAMSUN</v>
          </cell>
          <cell r="L71" t="str">
            <v>ÇARSAMBA</v>
          </cell>
          <cell r="M71" t="str">
            <v>SAMSUN</v>
          </cell>
        </row>
        <row r="72">
          <cell r="G72" t="str">
            <v>586517</v>
          </cell>
          <cell r="H72" t="str">
            <v>Bim</v>
          </cell>
          <cell r="I72" t="str">
            <v>BIM A.S. (5456 KIZILAY-ÇARŞAMBA SAMSUN)</v>
          </cell>
          <cell r="J72" t="str">
            <v>Aktif</v>
          </cell>
          <cell r="K72" t="str">
            <v>ORTA MAH STADYUM CAD. NO:15/A ÇARSAMBA SAMSUN</v>
          </cell>
          <cell r="L72" t="str">
            <v>ÇARSAMBA</v>
          </cell>
          <cell r="M72" t="str">
            <v>SAMSUN</v>
          </cell>
        </row>
        <row r="73">
          <cell r="G73" t="str">
            <v>586552</v>
          </cell>
          <cell r="H73" t="str">
            <v>Bim</v>
          </cell>
          <cell r="I73" t="str">
            <v>BIM A.S. (2824 GÖĞCELİ ÇARŞAMBA SAMSUN)</v>
          </cell>
          <cell r="J73" t="str">
            <v>Aktif</v>
          </cell>
          <cell r="K73" t="str">
            <v>ORTA MAH CEMİL ŞENSOY CAD. NO:33/A ÇARSAMBA SAMSUN</v>
          </cell>
          <cell r="L73" t="str">
            <v>ÇARSAMBA</v>
          </cell>
          <cell r="M73" t="str">
            <v>SAMSUN</v>
          </cell>
        </row>
        <row r="74">
          <cell r="G74" t="str">
            <v>586578</v>
          </cell>
          <cell r="H74" t="str">
            <v>Bim</v>
          </cell>
          <cell r="I74" t="str">
            <v>BIM A.S. (Q264 SAHİL ÜNYE ORDU)</v>
          </cell>
          <cell r="J74" t="str">
            <v>Aktif</v>
          </cell>
          <cell r="K74" t="str">
            <v>ORTA YILMAZLAR MAH. SAHİL CAD. NO:5 ÜNYE ORDU</v>
          </cell>
          <cell r="L74" t="str">
            <v>ÜNYE</v>
          </cell>
          <cell r="M74" t="str">
            <v>ORDU</v>
          </cell>
        </row>
        <row r="75">
          <cell r="G75" t="str">
            <v>586586</v>
          </cell>
          <cell r="H75" t="str">
            <v>Bim</v>
          </cell>
          <cell r="I75" t="str">
            <v>BIM A.S. (Q272 ÇAMLIK ÜNYE ORDU)</v>
          </cell>
          <cell r="J75" t="str">
            <v>Aktif</v>
          </cell>
          <cell r="K75" t="str">
            <v>ATATÜRK MAH. DEVLET SAHİLYOLU NO:679/A ÜNYE ORDU</v>
          </cell>
          <cell r="L75" t="str">
            <v>ÜNYE</v>
          </cell>
          <cell r="M75" t="str">
            <v>ORDU</v>
          </cell>
        </row>
        <row r="76">
          <cell r="G76" t="str">
            <v>586589</v>
          </cell>
          <cell r="H76" t="str">
            <v>Bim</v>
          </cell>
          <cell r="I76" t="str">
            <v>BIM A.S. (Q265 LİSELER ÜNYE ORDU)</v>
          </cell>
          <cell r="J76" t="str">
            <v>Aktif</v>
          </cell>
          <cell r="K76" t="str">
            <v>LİSELER MAH. FATİH SULTAN MEHMET CAD. NO:98 ÜNYE ORDU</v>
          </cell>
          <cell r="L76" t="str">
            <v>ÜNYE</v>
          </cell>
          <cell r="M76" t="str">
            <v>ORDU</v>
          </cell>
        </row>
        <row r="77">
          <cell r="G77" t="str">
            <v>586597</v>
          </cell>
          <cell r="H77" t="str">
            <v>Bim</v>
          </cell>
          <cell r="I77" t="str">
            <v>BIM A.S. (Q263 STADYUM ÜNYE ORDU)</v>
          </cell>
          <cell r="J77" t="str">
            <v>Aktif</v>
          </cell>
          <cell r="K77" t="str">
            <v>KALEDERE MAH. NİKSAR CAD. NO:88 ÜNYE ORDU</v>
          </cell>
          <cell r="L77" t="str">
            <v>ÜNYE</v>
          </cell>
          <cell r="M77" t="str">
            <v>ORDU</v>
          </cell>
        </row>
        <row r="78">
          <cell r="G78" t="str">
            <v>586602</v>
          </cell>
          <cell r="H78" t="str">
            <v>Bim</v>
          </cell>
          <cell r="I78" t="str">
            <v>BIM A.S. (K926 TERME SAMSUN)</v>
          </cell>
          <cell r="J78" t="str">
            <v>Aktif</v>
          </cell>
          <cell r="K78" t="str">
            <v>3573 FENK MH.KARAKOL SK.NO:5 TERME SAMSUN</v>
          </cell>
          <cell r="L78" t="str">
            <v>TERME</v>
          </cell>
          <cell r="M78" t="str">
            <v>SAMSUN</v>
          </cell>
        </row>
        <row r="79">
          <cell r="G79" t="str">
            <v>437132</v>
          </cell>
          <cell r="H79" t="str">
            <v>Bim</v>
          </cell>
          <cell r="I79" t="str">
            <v>BIM A.S. (Q388 ERFELEK / SİNOP)</v>
          </cell>
          <cell r="J79" t="str">
            <v>Aktif</v>
          </cell>
          <cell r="K79" t="str">
            <v>MERKEZ MAH. ESAT TÜRKMEN CAD. NO:21 ERFELEK SINOP</v>
          </cell>
          <cell r="L79" t="str">
            <v>ERFELEK</v>
          </cell>
          <cell r="M79" t="str">
            <v>SINOP</v>
          </cell>
        </row>
        <row r="80">
          <cell r="G80" t="str">
            <v>860838</v>
          </cell>
          <cell r="H80" t="str">
            <v>Bim</v>
          </cell>
          <cell r="I80" t="str">
            <v>BIM A.S. (R721 GERZE EMNİYET)</v>
          </cell>
          <cell r="J80" t="str">
            <v>Aktif</v>
          </cell>
          <cell r="K80" t="str">
            <v>19 MAYIS MAH MUTLU SOK. NO:8A GERZE SINOP</v>
          </cell>
          <cell r="L80" t="str">
            <v>GERZE</v>
          </cell>
          <cell r="M80" t="str">
            <v>SINOP</v>
          </cell>
        </row>
        <row r="81">
          <cell r="G81" t="str">
            <v>773614</v>
          </cell>
          <cell r="H81" t="str">
            <v>Bim</v>
          </cell>
          <cell r="I81" t="str">
            <v>BIM A.S. (Q391 19 MAYIS / GERZE / SİNOP)</v>
          </cell>
          <cell r="J81" t="str">
            <v>Aktif</v>
          </cell>
          <cell r="K81" t="str">
            <v>19 MAYIS MAH. CEYLAN SOK. NO:2 A GERZE SINOP</v>
          </cell>
          <cell r="L81" t="str">
            <v>GERZE</v>
          </cell>
          <cell r="M81" t="str">
            <v>SINOP</v>
          </cell>
        </row>
        <row r="82">
          <cell r="G82" t="str">
            <v>773615</v>
          </cell>
          <cell r="H82" t="str">
            <v>Bim</v>
          </cell>
          <cell r="I82" t="str">
            <v>BIM A.S. (Q392 DÖRTYOL/ GERZE)</v>
          </cell>
          <cell r="J82" t="str">
            <v>Aktif</v>
          </cell>
          <cell r="K82" t="str">
            <v>CUMHURİYET MAH. SAMSUN CAD. NO: 16 A GERZE SINOP</v>
          </cell>
          <cell r="L82" t="str">
            <v>GERZE</v>
          </cell>
          <cell r="M82" t="str">
            <v>SINOP</v>
          </cell>
        </row>
        <row r="83">
          <cell r="G83" t="str">
            <v>277978</v>
          </cell>
          <cell r="H83" t="str">
            <v>Bim</v>
          </cell>
          <cell r="I83" t="str">
            <v>BIM A.S. (Q387 HAMİDİYE / GERZE)</v>
          </cell>
          <cell r="J83" t="str">
            <v>Aktif</v>
          </cell>
          <cell r="K83" t="str">
            <v>ÇARŞI MAH ZİNCİRKUYU CAD. NO:15 GERZE SINOP</v>
          </cell>
          <cell r="L83" t="str">
            <v>GERZE</v>
          </cell>
          <cell r="M83" t="str">
            <v>SINOP</v>
          </cell>
        </row>
        <row r="84">
          <cell r="G84" t="str">
            <v>586634</v>
          </cell>
          <cell r="H84" t="str">
            <v>Bim</v>
          </cell>
          <cell r="I84" t="str">
            <v>BIM A.S. (3509 19 MAYIS SAMSUN)</v>
          </cell>
          <cell r="J84" t="str">
            <v>Aktif</v>
          </cell>
          <cell r="K84" t="str">
            <v>_ 19 MAYIS MAH. 1 B SOK. NO:1/D SAMSUN(MERKEZ) SAMSUN</v>
          </cell>
          <cell r="L84" t="str">
            <v>SAMSUN(MERKEZ)</v>
          </cell>
          <cell r="M84" t="str">
            <v>SAMSUN</v>
          </cell>
        </row>
        <row r="85">
          <cell r="G85" t="str">
            <v>586635</v>
          </cell>
          <cell r="H85" t="str">
            <v>Bim</v>
          </cell>
          <cell r="I85" t="str">
            <v>BIM A.S. (1969 IRMAK \ SAMSUN)</v>
          </cell>
          <cell r="J85" t="str">
            <v>Aktif</v>
          </cell>
          <cell r="K85" t="str">
            <v>KILIÇDEDE MAH. CUMHURIYET CAD. NO:59/A SAMSUN(MERKEZ) SAMSUN</v>
          </cell>
          <cell r="L85" t="str">
            <v>SAMSUN(MERKEZ)</v>
          </cell>
          <cell r="M85" t="str">
            <v>SAMSUN</v>
          </cell>
        </row>
        <row r="86">
          <cell r="G86" t="str">
            <v>586636</v>
          </cell>
          <cell r="H86" t="str">
            <v>Bim</v>
          </cell>
          <cell r="I86" t="str">
            <v>BIM A.S. (1880 KILIÇDEDE SAMSUN)</v>
          </cell>
          <cell r="J86" t="str">
            <v>Aktif</v>
          </cell>
          <cell r="K86" t="str">
            <v>KILIÇDEDE MAH. M.ÖZKEFELI BLV. NO:30/A-B SAMSUN(MERKEZ) SAMSUN</v>
          </cell>
          <cell r="L86" t="str">
            <v>SAMSUN(MERKEZ)</v>
          </cell>
          <cell r="M86" t="str">
            <v>SAMSUN</v>
          </cell>
        </row>
        <row r="87">
          <cell r="G87" t="str">
            <v>586637</v>
          </cell>
          <cell r="H87" t="str">
            <v>Bim</v>
          </cell>
          <cell r="I87" t="str">
            <v>BIM A.S. (1870 ELLİALTILAR SAMSUN)</v>
          </cell>
          <cell r="J87" t="str">
            <v>Aktif</v>
          </cell>
          <cell r="K87" t="str">
            <v>_ BAHÇELİEVLER MAH. İSTİKLAL CAD. NO:234/A SAMSUN(MERKEZ) SAMSUN</v>
          </cell>
          <cell r="L87" t="str">
            <v>SAMSUN(MERKEZ)</v>
          </cell>
          <cell r="M87" t="str">
            <v>SAMSUN</v>
          </cell>
        </row>
        <row r="88">
          <cell r="G88" t="str">
            <v>586638</v>
          </cell>
          <cell r="H88" t="str">
            <v>Bim</v>
          </cell>
          <cell r="I88" t="str">
            <v>BIM A.S. (1872 İLYASKÖY SAMSUN)</v>
          </cell>
          <cell r="J88" t="str">
            <v>Aktif</v>
          </cell>
          <cell r="K88" t="str">
            <v>YENIDOGAN MAH. AZIZIYE CAD. NO:170 SAMSUN(MERKEZ) SAMSUN</v>
          </cell>
          <cell r="L88" t="str">
            <v>SAMSUN(MERKEZ)</v>
          </cell>
          <cell r="M88" t="str">
            <v>SAMSUN</v>
          </cell>
        </row>
        <row r="89">
          <cell r="G89" t="str">
            <v>586639</v>
          </cell>
          <cell r="H89" t="str">
            <v>Bim</v>
          </cell>
          <cell r="I89" t="str">
            <v>BIM A.S. (1891 KİREÇTEPE)</v>
          </cell>
          <cell r="J89" t="str">
            <v>Aktif</v>
          </cell>
          <cell r="K89" t="str">
            <v>RESADIYE MAH. AGABALI CAD. NO:128/B SAMSUN(MERKEZ) SAMSUN</v>
          </cell>
          <cell r="L89" t="str">
            <v>SAMSUN(MERKEZ)</v>
          </cell>
          <cell r="M89" t="str">
            <v>SAMSUN</v>
          </cell>
        </row>
        <row r="90">
          <cell r="G90" t="str">
            <v>586640</v>
          </cell>
          <cell r="H90" t="str">
            <v>Bim</v>
          </cell>
          <cell r="I90" t="str">
            <v>BIM A.S. (1881 YUZUNCU YIL)</v>
          </cell>
          <cell r="J90" t="str">
            <v>Aktif</v>
          </cell>
          <cell r="K90" t="str">
            <v>ULUGAZI MAH. 100. YIL BLV. NO:141 ALAÇAM SAMSUN</v>
          </cell>
          <cell r="L90" t="str">
            <v>ALAÇAM</v>
          </cell>
          <cell r="M90" t="str">
            <v>SAMSUN</v>
          </cell>
        </row>
        <row r="91">
          <cell r="G91" t="str">
            <v>586642</v>
          </cell>
          <cell r="H91" t="str">
            <v>Bim</v>
          </cell>
          <cell r="I91" t="str">
            <v>BIM A.S. (1874 SAATHANE SAMSUN)</v>
          </cell>
          <cell r="J91" t="str">
            <v>Aktif</v>
          </cell>
          <cell r="K91" t="str">
            <v>HANÇERLI MAH. ABBASAGA SOK. NO:3/C SAMSUN(MERKEZ) SAMSUN</v>
          </cell>
          <cell r="L91" t="str">
            <v>SAMSUN(MERKEZ)</v>
          </cell>
          <cell r="M91" t="str">
            <v>SAMSUN</v>
          </cell>
        </row>
        <row r="92">
          <cell r="G92" t="str">
            <v>586643</v>
          </cell>
          <cell r="H92" t="str">
            <v>Bim</v>
          </cell>
          <cell r="I92" t="str">
            <v>BIM A.S. (1873 ÇİFTLİK SAMSUN)</v>
          </cell>
          <cell r="J92" t="str">
            <v>Aktif</v>
          </cell>
          <cell r="K92" t="str">
            <v>_ İSTİKLAL CAD. NO:/46-53 SAMSUN(MERKEZ) SAMSUN</v>
          </cell>
          <cell r="L92" t="str">
            <v>SAMSUN(MERKEZ)</v>
          </cell>
          <cell r="M92" t="str">
            <v>SAMSUN</v>
          </cell>
        </row>
        <row r="93">
          <cell r="G93" t="str">
            <v>586644</v>
          </cell>
          <cell r="H93" t="str">
            <v>Bim</v>
          </cell>
          <cell r="I93" t="str">
            <v>BIM A.S. (2555 UNKAPANI SAMSUN)</v>
          </cell>
          <cell r="J93" t="str">
            <v>Aktif</v>
          </cell>
          <cell r="K93" t="str">
            <v>_ HASTANE BAŞI MAH. FATİH RÜŞTÜ ZORLU CAD. NO:6/A SAMSUN(MERKEZ) SAMSUN</v>
          </cell>
          <cell r="L93" t="str">
            <v>SAMSUN(MERKEZ)</v>
          </cell>
          <cell r="M93" t="str">
            <v>SAMSUN</v>
          </cell>
        </row>
        <row r="94">
          <cell r="G94" t="str">
            <v>586645</v>
          </cell>
          <cell r="H94" t="str">
            <v>Bim</v>
          </cell>
          <cell r="I94" t="str">
            <v>BIM A.S. (2069 KADİFEKALE SAMSUN)</v>
          </cell>
          <cell r="J94" t="str">
            <v>Aktif</v>
          </cell>
          <cell r="K94" t="str">
            <v>_ KADİFEKALE MAH. KADİFE SOK. NO:2 SAMSUN(MERKEZ) SAMSUN</v>
          </cell>
          <cell r="L94" t="str">
            <v>SAMSUN(MERKEZ)</v>
          </cell>
          <cell r="M94" t="str">
            <v>SAMSUN</v>
          </cell>
        </row>
        <row r="95">
          <cell r="G95" t="str">
            <v>586646</v>
          </cell>
          <cell r="H95" t="str">
            <v>Bim</v>
          </cell>
          <cell r="I95" t="str">
            <v>BIM A.S. (Q296 ZİRVE / ATAKUM)</v>
          </cell>
          <cell r="J95" t="str">
            <v>Aktif</v>
          </cell>
          <cell r="K95" t="str">
            <v>MİMARSİNAN MAH 119. SOK. NO:1 ATAKUM SAMSUN</v>
          </cell>
          <cell r="L95" t="str">
            <v>ATAKUM</v>
          </cell>
          <cell r="M95" t="str">
            <v>SAMSUN</v>
          </cell>
        </row>
        <row r="96">
          <cell r="G96" t="str">
            <v>586648</v>
          </cell>
          <cell r="H96" t="str">
            <v>Bim</v>
          </cell>
          <cell r="I96" t="str">
            <v>BIM A.S. (Q319 DENİZEVLERİ / ATAKUM)</v>
          </cell>
          <cell r="J96" t="str">
            <v>Aktif</v>
          </cell>
          <cell r="K96" t="str">
            <v>DENİZEVLERİ MAH 219. SOK. NO:3/3 ATAKUM SAMSUN</v>
          </cell>
          <cell r="L96" t="str">
            <v>ATAKUM</v>
          </cell>
          <cell r="M96" t="str">
            <v>SAMSUN</v>
          </cell>
        </row>
        <row r="97">
          <cell r="G97" t="str">
            <v>586649</v>
          </cell>
          <cell r="H97" t="str">
            <v>Bim</v>
          </cell>
          <cell r="I97" t="str">
            <v>BIM A.S. (Q297 ATAKENT / ATAKUM)</v>
          </cell>
          <cell r="J97" t="str">
            <v>Aktif</v>
          </cell>
          <cell r="K97" t="str">
            <v>GÜZELYALI MAH ATATÜRK BULV. NO:61 ATAKUM SAMSUN</v>
          </cell>
          <cell r="L97" t="str">
            <v>ATAKUM</v>
          </cell>
          <cell r="M97" t="str">
            <v>SAMSUN</v>
          </cell>
        </row>
        <row r="98">
          <cell r="G98" t="str">
            <v>586650</v>
          </cell>
          <cell r="H98" t="str">
            <v>Bim</v>
          </cell>
          <cell r="I98" t="str">
            <v>BIM A.S. (Q289 KANDİLLİ / ATAKUM)</v>
          </cell>
          <cell r="J98" t="str">
            <v>Aktif</v>
          </cell>
          <cell r="K98" t="str">
            <v>CUMHURIYET MAH. KANDILLI CAD. NO:22 SAMSUN(MERKEZ) SAMSUN</v>
          </cell>
          <cell r="L98" t="str">
            <v>SAMSUN(MERKEZ)</v>
          </cell>
          <cell r="M98" t="str">
            <v>SAMSUN</v>
          </cell>
        </row>
        <row r="99">
          <cell r="G99" t="str">
            <v>586652</v>
          </cell>
          <cell r="H99" t="str">
            <v>Bim</v>
          </cell>
          <cell r="I99" t="str">
            <v>BIM A.S. (Q288 ÖMÜREVLERİ / ATAKUM)</v>
          </cell>
          <cell r="J99" t="str">
            <v>Aktif</v>
          </cell>
          <cell r="K99" t="str">
            <v>CUMHURIYET MAH. ARMONI SOK. NO:2 ATAKUM SAMSUN</v>
          </cell>
          <cell r="L99" t="str">
            <v>ATAKUM</v>
          </cell>
          <cell r="M99" t="str">
            <v>SAMSUN</v>
          </cell>
        </row>
        <row r="100">
          <cell r="G100" t="str">
            <v>586653</v>
          </cell>
          <cell r="H100" t="str">
            <v>Bim</v>
          </cell>
          <cell r="I100" t="str">
            <v>BIM A.S. (3457 SUBAŞI SAMSUN)</v>
          </cell>
          <cell r="J100" t="str">
            <v>Aktif</v>
          </cell>
          <cell r="K100" t="str">
            <v>_ PAZAR MAH. MÜFTÜ CAD. NO:11/1 SAMSUN(MERKEZ) SAMSUN</v>
          </cell>
          <cell r="L100" t="str">
            <v>SAMSUN(MERKEZ)</v>
          </cell>
          <cell r="M100" t="str">
            <v>SAMSUN</v>
          </cell>
        </row>
        <row r="101">
          <cell r="G101" t="str">
            <v>586654</v>
          </cell>
          <cell r="H101" t="str">
            <v>Bim</v>
          </cell>
          <cell r="I101" t="str">
            <v>BIM A.S. (2335 BARIŞ SAMSUN)</v>
          </cell>
          <cell r="J101" t="str">
            <v>Aktif</v>
          </cell>
          <cell r="K101" t="str">
            <v>_ ANADOLU MAH. BARIŞ BULV. NO:138 SAMSUN(MERKEZ) SAMSUN</v>
          </cell>
          <cell r="L101" t="str">
            <v>SAMSUN(MERKEZ)</v>
          </cell>
          <cell r="M101" t="str">
            <v>SAMSUN</v>
          </cell>
        </row>
        <row r="102">
          <cell r="G102" t="str">
            <v>586655</v>
          </cell>
          <cell r="H102" t="str">
            <v>Bim</v>
          </cell>
          <cell r="I102" t="str">
            <v>BIM A.S. (8011 YETERKAYNAK CANİK SAMSUN)</v>
          </cell>
          <cell r="J102" t="str">
            <v>Aktif</v>
          </cell>
          <cell r="K102" t="str">
            <v>KARŞIYAKA MAH MEKKE CAD. NO:78 CANIK SAMSUN</v>
          </cell>
          <cell r="L102" t="str">
            <v>CANIK</v>
          </cell>
          <cell r="M102" t="str">
            <v>SAMSUN</v>
          </cell>
        </row>
        <row r="103">
          <cell r="G103" t="str">
            <v>586656</v>
          </cell>
          <cell r="H103" t="str">
            <v>Bim</v>
          </cell>
          <cell r="I103" t="str">
            <v>BIM A.S. (2377 FEVZİ ÇAKMAK SAMSUN)</v>
          </cell>
          <cell r="J103" t="str">
            <v>Aktif</v>
          </cell>
          <cell r="K103" t="str">
            <v>FEVZİ ÇAKMAK MAH. ADALET CAD. NO:2 SAMSUN(MERKEZ) SAMSUN</v>
          </cell>
          <cell r="L103" t="str">
            <v>SAMSUN(MERKEZ)</v>
          </cell>
          <cell r="M103" t="str">
            <v>SAMSUN</v>
          </cell>
        </row>
        <row r="104">
          <cell r="G104" t="str">
            <v>586658</v>
          </cell>
          <cell r="H104" t="str">
            <v>Bim</v>
          </cell>
          <cell r="I104" t="str">
            <v>BIM A.S. (2590 SAADET SAMSUN)</v>
          </cell>
          <cell r="J104" t="str">
            <v>Aktif</v>
          </cell>
          <cell r="K104" t="str">
            <v>19 MAYIS MAH. SAADET CAD. NO:28 SAMSUN(MERKEZ) SAMSUN</v>
          </cell>
          <cell r="L104" t="str">
            <v>SAMSUN(MERKEZ)</v>
          </cell>
          <cell r="M104" t="str">
            <v>SAMSUN</v>
          </cell>
        </row>
        <row r="105">
          <cell r="G105" t="str">
            <v>586659</v>
          </cell>
          <cell r="H105" t="str">
            <v>Bim</v>
          </cell>
          <cell r="I105" t="str">
            <v>BIM A.S. (2670 ADALET SAMSUN)</v>
          </cell>
          <cell r="J105" t="str">
            <v>Aktif</v>
          </cell>
          <cell r="K105" t="str">
            <v>_ ADALET MAH. 100.YIL BULV. NO:242/A SAMSUN(MERKEZ) SAMSUN</v>
          </cell>
          <cell r="L105" t="str">
            <v>SAMSUN(MERKEZ)</v>
          </cell>
          <cell r="M105" t="str">
            <v>SAMSUN</v>
          </cell>
        </row>
        <row r="106">
          <cell r="G106" t="str">
            <v>586660</v>
          </cell>
          <cell r="H106" t="str">
            <v>Bim</v>
          </cell>
          <cell r="I106" t="str">
            <v>BIM A.S. (2811 KADIKÖY SAMSUN)</v>
          </cell>
          <cell r="J106" t="str">
            <v>Aktif</v>
          </cell>
          <cell r="K106" t="str">
            <v>KADIKÖY MH. OSMANİYE CD. NO:100 SAMSUN(MERKEZ) SAMSUN</v>
          </cell>
          <cell r="L106" t="str">
            <v>SAMSUN(MERKEZ)</v>
          </cell>
          <cell r="M106" t="str">
            <v>SAMSUN</v>
          </cell>
        </row>
        <row r="107">
          <cell r="G107" t="str">
            <v>586661</v>
          </cell>
          <cell r="H107" t="str">
            <v>Bim</v>
          </cell>
          <cell r="I107" t="str">
            <v>BIM A.S. (Q295 MEVLANA / ATAKUM)</v>
          </cell>
          <cell r="J107" t="str">
            <v>Aktif</v>
          </cell>
          <cell r="K107" t="str">
            <v>MEVLANA MAH. 737. SK. NO:12 SAMSUN(MERKEZ) SAMSUN</v>
          </cell>
          <cell r="L107" t="str">
            <v>SAMSUN(MERKEZ)</v>
          </cell>
          <cell r="M107" t="str">
            <v>SAMSUN</v>
          </cell>
        </row>
        <row r="108">
          <cell r="G108" t="str">
            <v>588854</v>
          </cell>
          <cell r="H108" t="str">
            <v>Bim</v>
          </cell>
          <cell r="I108" t="str">
            <v>BIM A.S. (Q375 İNÖNÜ / HAVZA / SAMSUN)</v>
          </cell>
          <cell r="J108" t="str">
            <v>Aktif</v>
          </cell>
          <cell r="K108" t="str">
            <v>İNÖNÜ MAH. KAZIM PAŞA CAD. NO:4/A HAVZA SAMSUN</v>
          </cell>
          <cell r="L108" t="str">
            <v>HAVZA</v>
          </cell>
          <cell r="M108" t="str">
            <v>SAMSUN</v>
          </cell>
        </row>
        <row r="109">
          <cell r="G109" t="str">
            <v>588954</v>
          </cell>
          <cell r="H109" t="str">
            <v>Bim</v>
          </cell>
          <cell r="I109" t="str">
            <v>BIM A.S. (Q381 LADİK / SAMSUN)</v>
          </cell>
          <cell r="J109" t="str">
            <v>Aktif</v>
          </cell>
          <cell r="K109" t="str">
            <v>LADIK LÂDIK SAMSUN</v>
          </cell>
          <cell r="L109" t="str">
            <v>LÂDIK</v>
          </cell>
          <cell r="M109" t="str">
            <v>SAMSUN</v>
          </cell>
        </row>
        <row r="110">
          <cell r="G110" t="str">
            <v>604572</v>
          </cell>
          <cell r="H110" t="str">
            <v>Bim</v>
          </cell>
          <cell r="I110" t="str">
            <v>BIM A.S. (Q325 ÇOBANLI / ATAKUM)</v>
          </cell>
          <cell r="J110" t="str">
            <v>Aktif</v>
          </cell>
          <cell r="K110" t="str">
            <v>CUMHURİYET MH. ABULLAH GÜL BULVARI C BLOK NO:162/A ATAKUM SAMSUN</v>
          </cell>
          <cell r="L110" t="str">
            <v>ATAKUM</v>
          </cell>
          <cell r="M110" t="str">
            <v>SAMSUN</v>
          </cell>
        </row>
        <row r="111">
          <cell r="G111" t="str">
            <v>604640</v>
          </cell>
          <cell r="H111" t="str">
            <v>Bim</v>
          </cell>
          <cell r="I111" t="str">
            <v>BIM A.S. (Q326 LOZAN / ATAKUM)</v>
          </cell>
          <cell r="J111" t="str">
            <v>Aktif</v>
          </cell>
          <cell r="K111" t="str">
            <v>CUMHURİYET MH. 49. SK. B BLOK APT NO:18 ATAKUM SAMSUN</v>
          </cell>
          <cell r="L111" t="str">
            <v>ATAKUM</v>
          </cell>
          <cell r="M111" t="str">
            <v>SAMSUN</v>
          </cell>
        </row>
        <row r="112">
          <cell r="G112" t="str">
            <v>604650</v>
          </cell>
          <cell r="H112" t="str">
            <v>Bim</v>
          </cell>
          <cell r="I112" t="str">
            <v>BIM A.S. (B263 SOFUOĞLU ÇARŞAMBA SAMSUN)</v>
          </cell>
          <cell r="J112" t="str">
            <v>Aktif</v>
          </cell>
          <cell r="K112" t="str">
            <v>ORTA MH. SOFUOĞLU CD. NO:2/A A/B2 DÜKKAN</v>
          </cell>
          <cell r="L112" t="str">
            <v>ÇARSAMBA</v>
          </cell>
          <cell r="M112" t="str">
            <v>SAMSUN</v>
          </cell>
        </row>
        <row r="113">
          <cell r="G113" t="str">
            <v>604652</v>
          </cell>
          <cell r="H113" t="str">
            <v>Bim</v>
          </cell>
          <cell r="I113" t="str">
            <v>BIM A.S. (Q327 SOĞUKSU / KAVAK)</v>
          </cell>
          <cell r="J113" t="str">
            <v>Aktif</v>
          </cell>
          <cell r="K113" t="str">
            <v>SOĞUKSU MH. ONER CD. NO:3/4 KAVAK SAMSUN</v>
          </cell>
          <cell r="L113" t="str">
            <v>KAVAK</v>
          </cell>
          <cell r="M113" t="str">
            <v>SAMSUN</v>
          </cell>
        </row>
        <row r="114">
          <cell r="G114" t="str">
            <v>605877</v>
          </cell>
          <cell r="H114" t="str">
            <v>Bim</v>
          </cell>
          <cell r="I114" t="str">
            <v>BIM A.S. (Q323 ASARCIK / SAMSUN)</v>
          </cell>
          <cell r="J114" t="str">
            <v>Aktif</v>
          </cell>
          <cell r="K114" t="str">
            <v>ATATÜRK MH. MEHMET ÇETİN CD. NO:11/A ADRES KODU:1272468495 ASARCIK SAMSUN</v>
          </cell>
          <cell r="L114" t="str">
            <v>ASARCIK</v>
          </cell>
          <cell r="M114" t="str">
            <v>SAMSUN</v>
          </cell>
        </row>
        <row r="115">
          <cell r="G115" t="str">
            <v>605879</v>
          </cell>
          <cell r="H115" t="str">
            <v>Bim</v>
          </cell>
          <cell r="I115" t="str">
            <v>BIM A.S. (A833 GÜLHANE PARK ÇARŞAMBA SAMSUN)</v>
          </cell>
          <cell r="J115" t="str">
            <v>Aktif</v>
          </cell>
          <cell r="K115" t="str">
            <v>KİRAZLIK ÇAY MH. DEĞİRMENBAŞI CD. NO:77/A ADRES KODU:1357090150</v>
          </cell>
          <cell r="L115" t="str">
            <v>ÇARSAMBA</v>
          </cell>
          <cell r="M115" t="str">
            <v>SAMSUN</v>
          </cell>
        </row>
        <row r="116">
          <cell r="G116" t="str">
            <v>605881</v>
          </cell>
          <cell r="H116" t="str">
            <v>Bim</v>
          </cell>
          <cell r="I116" t="str">
            <v>BIM A.S. (A809 HACI OSMAN TEKKEKÖY SAMSUN)</v>
          </cell>
          <cell r="J116" t="str">
            <v>Aktif</v>
          </cell>
          <cell r="K116" t="str">
            <v>KURTULUŞ MH. ŞEYH ZEYNETTİN CD. NO:84/B</v>
          </cell>
          <cell r="L116" t="str">
            <v>TEKKEKÖY</v>
          </cell>
          <cell r="M116" t="str">
            <v>SAMSUN</v>
          </cell>
        </row>
        <row r="117">
          <cell r="G117" t="str">
            <v>605883</v>
          </cell>
          <cell r="H117" t="str">
            <v>Bim</v>
          </cell>
          <cell r="I117" t="str">
            <v>BIM A.S. (Q268 İPEKYOLU ÜNYE ORDU)</v>
          </cell>
          <cell r="J117" t="str">
            <v>Aktif</v>
          </cell>
          <cell r="K117" t="str">
            <v>FEVZİ ÇAKMAK MH. İPEKYOLU CD. NO:12/1 ADRES KODU:2947310609 ÜNYE ORDU</v>
          </cell>
          <cell r="L117" t="str">
            <v>ÜNYE</v>
          </cell>
          <cell r="M117" t="str">
            <v>ORDU</v>
          </cell>
        </row>
        <row r="118">
          <cell r="G118" t="str">
            <v>760422</v>
          </cell>
          <cell r="H118" t="str">
            <v>Bim</v>
          </cell>
          <cell r="I118" t="str">
            <v>BIM A.S. (Q354 GAZALİ / BAFRA)</v>
          </cell>
          <cell r="J118" t="str">
            <v>Aktif</v>
          </cell>
          <cell r="K118" t="str">
            <v>ALTINYAPRAK MAH. ÇİCEKLİ 4. SOK. NO:73/A-B BAFRA SAMSUN</v>
          </cell>
          <cell r="L118" t="str">
            <v>BAFRA</v>
          </cell>
          <cell r="M118" t="str">
            <v>SAMSUN</v>
          </cell>
        </row>
        <row r="119">
          <cell r="G119" t="str">
            <v>619431</v>
          </cell>
          <cell r="H119" t="str">
            <v>Bim</v>
          </cell>
          <cell r="I119" t="str">
            <v>BIM A.S. (B598 MEŞE TESİSLERİ CANİK SAMSUN)</v>
          </cell>
          <cell r="J119" t="str">
            <v>Aktif</v>
          </cell>
          <cell r="K119" t="str">
            <v>HASKÖY MH. ÜSKÜP CD. NO:60/C-2-3-4 CANIK SAMSUN</v>
          </cell>
          <cell r="L119" t="str">
            <v>CANIK</v>
          </cell>
          <cell r="M119" t="str">
            <v>SAMSUN</v>
          </cell>
        </row>
        <row r="120">
          <cell r="G120" t="str">
            <v>619435</v>
          </cell>
          <cell r="H120" t="str">
            <v>Bim</v>
          </cell>
          <cell r="I120" t="str">
            <v>BIM A.S. (Q329 HÜNKAR / ATAKUM)</v>
          </cell>
          <cell r="J120" t="str">
            <v>Aktif</v>
          </cell>
          <cell r="K120" t="str">
            <v>YENİMAHALLE MH. ATAKENT BUL. NO:144/A ATAKUM SAMSUN</v>
          </cell>
          <cell r="L120" t="str">
            <v>ATAKUM</v>
          </cell>
          <cell r="M120" t="str">
            <v>SAMSUN</v>
          </cell>
        </row>
        <row r="121">
          <cell r="G121" t="str">
            <v>621833</v>
          </cell>
          <cell r="H121" t="str">
            <v>Bim</v>
          </cell>
          <cell r="I121" t="str">
            <v>BIM A.S. (B803 SİTELER İLKADIM SAMSUN)</v>
          </cell>
          <cell r="J121" t="str">
            <v>Aktif</v>
          </cell>
          <cell r="K121" t="str">
            <v>KAZIM KARABEKİR MH. SİTELER BUL. NO:30 A/B (2 DÜKKAN) ILKADIM SAMSUN</v>
          </cell>
          <cell r="L121" t="str">
            <v>ILKADIM</v>
          </cell>
          <cell r="M121" t="str">
            <v>SAMSUN</v>
          </cell>
        </row>
        <row r="122">
          <cell r="G122" t="str">
            <v>640285</v>
          </cell>
          <cell r="H122" t="str">
            <v>Bim</v>
          </cell>
          <cell r="I122" t="str">
            <v>BIM A.S. (Q269 BAYRAMCA ÜNYE ORDU)</v>
          </cell>
          <cell r="J122" t="str">
            <v>Aktif</v>
          </cell>
          <cell r="K122" t="str">
            <v>BAYRAMCA MH. Ş.CEMAL MUTLU SK. NO:15/A ÜNYE ORDU</v>
          </cell>
          <cell r="L122" t="str">
            <v>ÜNYE</v>
          </cell>
          <cell r="M122" t="str">
            <v>ORDU</v>
          </cell>
        </row>
        <row r="123">
          <cell r="G123" t="str">
            <v>640287</v>
          </cell>
          <cell r="H123" t="str">
            <v>Bim</v>
          </cell>
          <cell r="I123" t="str">
            <v>BIM A.S. (K929 FENK TERME SAMSUN)</v>
          </cell>
          <cell r="J123" t="str">
            <v>Aktif</v>
          </cell>
          <cell r="K123" t="str">
            <v>FENK MAH. FİSKOBİRLİK CAD. GÜZEL SOK. NO:79/B TERME SAMSUN</v>
          </cell>
          <cell r="L123" t="str">
            <v>TERME</v>
          </cell>
          <cell r="M123" t="str">
            <v>SAMSUN</v>
          </cell>
        </row>
        <row r="124">
          <cell r="G124" t="str">
            <v>640288</v>
          </cell>
          <cell r="H124" t="str">
            <v>Bim</v>
          </cell>
          <cell r="I124" t="str">
            <v>BIM A.S. (C172 ÇATALARMUT İLKADIM SAMSUN)</v>
          </cell>
          <cell r="J124" t="str">
            <v>Aktif</v>
          </cell>
          <cell r="K124" t="str">
            <v>ÇATALARMUT MAH. 179. SOK. 2-A/1 ILKADIM SAMSUN</v>
          </cell>
          <cell r="L124" t="str">
            <v>ILKADIM</v>
          </cell>
          <cell r="M124" t="str">
            <v>SAMSUN</v>
          </cell>
        </row>
        <row r="125">
          <cell r="G125" t="str">
            <v>640289</v>
          </cell>
          <cell r="H125" t="str">
            <v>Bim</v>
          </cell>
          <cell r="I125" t="str">
            <v>BIM A.S. (C111 KİRAZLIK TEKKEKÖY SAMSUN)</v>
          </cell>
          <cell r="J125" t="str">
            <v>Aktif</v>
          </cell>
          <cell r="K125" t="str">
            <v>KİRAZLIK MH. ATATÜRK BULVARI NO:98/1 TEKKEKÖY SAMSUN</v>
          </cell>
          <cell r="L125" t="str">
            <v>TEKKEKÖY</v>
          </cell>
          <cell r="M125" t="str">
            <v>SAMSUN</v>
          </cell>
        </row>
        <row r="126">
          <cell r="G126" t="str">
            <v>586347</v>
          </cell>
          <cell r="H126" t="str">
            <v>Bim</v>
          </cell>
          <cell r="I126" t="str">
            <v>BIM A.S. (Q293 ALTINYAPRAK / BAFRA)</v>
          </cell>
          <cell r="J126" t="str">
            <v>Aktif</v>
          </cell>
          <cell r="K126" t="str">
            <v>ALTINYAPRAK MAH. DUHA SERTKAYA BUL. NO:35 BAFRA SAMSUN</v>
          </cell>
          <cell r="L126" t="str">
            <v>BAFRA</v>
          </cell>
          <cell r="M126" t="str">
            <v>SAMSUN</v>
          </cell>
        </row>
        <row r="127">
          <cell r="G127" t="str">
            <v>640296</v>
          </cell>
          <cell r="H127" t="str">
            <v>Bim</v>
          </cell>
          <cell r="I127" t="str">
            <v>BIM A.S. (Q380 KAZIMPAŞA/HAVZA)</v>
          </cell>
          <cell r="J127" t="str">
            <v>Aktif</v>
          </cell>
          <cell r="K127" t="str">
            <v>MEDRESE MH. ALTAL SK. NO:12/1-2 KAZIMPAŞA HAVZA SAMSUN</v>
          </cell>
          <cell r="L127" t="str">
            <v>HAVZA</v>
          </cell>
          <cell r="M127" t="str">
            <v>SAMSUN</v>
          </cell>
        </row>
        <row r="128">
          <cell r="G128" t="str">
            <v>643941</v>
          </cell>
          <cell r="H128" t="str">
            <v>Bim</v>
          </cell>
          <cell r="I128" t="str">
            <v>BIM A.S. (Q273 ZAMBAK ÜNYE ORDU)</v>
          </cell>
          <cell r="J128" t="str">
            <v>Aktif</v>
          </cell>
          <cell r="K128" t="str">
            <v>ATATÜRK MH. DEVLET SAHİL YOLU MAVİ DENİZ ST. A BLOK NO:787/A ADRES KODU: 1602173187 ÜNYE ORDU</v>
          </cell>
          <cell r="L128" t="str">
            <v>ÜNYE</v>
          </cell>
          <cell r="M128" t="str">
            <v>ORDU</v>
          </cell>
        </row>
        <row r="129">
          <cell r="G129" t="str">
            <v>651826</v>
          </cell>
          <cell r="H129" t="str">
            <v>Bim</v>
          </cell>
          <cell r="I129" t="str">
            <v>BIM A.S. (C585 TEPECİK İLKADIM SAMSUN)</v>
          </cell>
          <cell r="J129" t="str">
            <v>Aktif</v>
          </cell>
          <cell r="K129" t="str">
            <v>KIŞLA MH. BORÇKA SK. A BLOK APT. NO:1/A ADRES KODU: 2512644127 ILKADIM SAMSUN</v>
          </cell>
          <cell r="L129" t="str">
            <v>ILKADIM</v>
          </cell>
          <cell r="M129" t="str">
            <v>SAMSUN</v>
          </cell>
        </row>
        <row r="130">
          <cell r="G130" t="str">
            <v>926610</v>
          </cell>
          <cell r="H130" t="str">
            <v>Bim</v>
          </cell>
          <cell r="I130" t="str">
            <v>BIM A.S. (U868 GENÇLİK CADDESİ GERZE SİNOP)</v>
          </cell>
          <cell r="J130" t="str">
            <v>Aktif</v>
          </cell>
          <cell r="K130" t="str">
            <v>HAMİDİYE MAH MEHMETÇİK CAD. NO:4/A–B GERZE SINOP</v>
          </cell>
          <cell r="L130" t="str">
            <v>GERZE</v>
          </cell>
          <cell r="M130" t="str">
            <v>SINOP</v>
          </cell>
        </row>
        <row r="131">
          <cell r="G131" t="str">
            <v>768890</v>
          </cell>
          <cell r="H131" t="str">
            <v>Bim</v>
          </cell>
          <cell r="I131" t="str">
            <v>BIM A.S. (Q363 GÖKTÜRK / BAFRA)</v>
          </cell>
          <cell r="J131" t="str">
            <v>Aktif</v>
          </cell>
          <cell r="K131" t="str">
            <v>ALTINYAPRAK MAH. SİRUNİ SOK NO:1/3 BAFRA SAMSUN</v>
          </cell>
          <cell r="L131" t="str">
            <v>BAFRA</v>
          </cell>
          <cell r="M131" t="str">
            <v>SAMSUN</v>
          </cell>
        </row>
        <row r="132">
          <cell r="G132" t="str">
            <v>655091</v>
          </cell>
          <cell r="H132" t="str">
            <v>Bim</v>
          </cell>
          <cell r="I132" t="str">
            <v>BIM A.S. (Q389 HAL CADDESİ / GERZE)</v>
          </cell>
          <cell r="J132" t="str">
            <v>Aktif</v>
          </cell>
          <cell r="K132" t="str">
            <v>HAMİDİYE MAH. HAL CAD. NO:82 /14 ADRES KODU:3685614681 GERZE SINOP</v>
          </cell>
          <cell r="L132" t="str">
            <v>GERZE</v>
          </cell>
          <cell r="M132" t="str">
            <v>SINOP</v>
          </cell>
        </row>
        <row r="133">
          <cell r="G133" t="str">
            <v>656727</v>
          </cell>
          <cell r="H133" t="str">
            <v>Bim</v>
          </cell>
          <cell r="I133" t="str">
            <v>BIM A.S. (C694 CEDİT İLKADIM SAMSUN)</v>
          </cell>
          <cell r="J133" t="str">
            <v>Aktif</v>
          </cell>
          <cell r="K133" t="str">
            <v>LİMAN MH. NEBİLER CD. NO: 9/1 ILKADIM SAMSUN</v>
          </cell>
          <cell r="L133" t="str">
            <v>ILKADIM</v>
          </cell>
          <cell r="M133" t="str">
            <v>SAMSUN</v>
          </cell>
        </row>
        <row r="134">
          <cell r="G134" t="str">
            <v>674779</v>
          </cell>
          <cell r="H134" t="str">
            <v>Bim</v>
          </cell>
          <cell r="I134" t="str">
            <v>BIM A.S. (Q270 SARAY ÜNYE ORDU)</v>
          </cell>
          <cell r="J134" t="str">
            <v>Aktif</v>
          </cell>
          <cell r="K134" t="str">
            <v>ÇAMURLU MH. ÇUBUKÇU ARİF SK. NO:3/A ÜNYE ORDU</v>
          </cell>
          <cell r="L134" t="str">
            <v>ÜNYE</v>
          </cell>
          <cell r="M134" t="str">
            <v>ORDU</v>
          </cell>
        </row>
        <row r="135">
          <cell r="G135" t="str">
            <v>674781</v>
          </cell>
          <cell r="H135" t="str">
            <v>Bim</v>
          </cell>
          <cell r="I135" t="str">
            <v>BIM A.S. (Q271 ÇINARLIK ÜNYE ORDU)</v>
          </cell>
          <cell r="J135" t="str">
            <v>Aktif</v>
          </cell>
          <cell r="K135" t="str">
            <v>ÇINARLIK MH. MEHMETÇİK SK. NO:22/7 ÜNYE ORDU</v>
          </cell>
          <cell r="L135" t="str">
            <v>ÜNYE</v>
          </cell>
          <cell r="M135" t="str">
            <v>ORDU</v>
          </cell>
        </row>
        <row r="136">
          <cell r="G136" t="str">
            <v>674782</v>
          </cell>
          <cell r="H136" t="str">
            <v>Bim</v>
          </cell>
          <cell r="I136" t="str">
            <v>BIM A.S. (D271 KUZEY YILDIZI CANİK SAMSUN)</v>
          </cell>
          <cell r="J136" t="str">
            <v>Aktif</v>
          </cell>
          <cell r="K136" t="str">
            <v>BIM A.S. (D271 KUZEY YILDIZI) CANIK SAMSUN</v>
          </cell>
          <cell r="L136" t="str">
            <v>CANIK</v>
          </cell>
          <cell r="M136" t="str">
            <v>SAMSUN</v>
          </cell>
        </row>
        <row r="137">
          <cell r="G137" t="str">
            <v>674783</v>
          </cell>
          <cell r="H137" t="str">
            <v>Bim</v>
          </cell>
          <cell r="I137" t="str">
            <v>BIM A.S. (D257 SAİTBEY İLKADIM SAMSUN)</v>
          </cell>
          <cell r="J137" t="str">
            <v>Aktif</v>
          </cell>
          <cell r="K137" t="str">
            <v>SAİTBEY MH. 100.YIL BUL. NO:105/1 ILKADIM SAMSUN</v>
          </cell>
          <cell r="L137" t="str">
            <v>ILKADIM</v>
          </cell>
          <cell r="M137" t="str">
            <v>SAMSUN</v>
          </cell>
        </row>
        <row r="138">
          <cell r="G138" t="str">
            <v>675505</v>
          </cell>
          <cell r="H138" t="str">
            <v>Bim</v>
          </cell>
          <cell r="I138" t="str">
            <v>BIM A.S. (Q275 İKİZCE ORDU)</v>
          </cell>
          <cell r="J138" t="str">
            <v>Aktif</v>
          </cell>
          <cell r="K138" t="str">
            <v>MERKEZ MH. TATAROĞLU SK. NO:1/A IKIZCE ORDU</v>
          </cell>
          <cell r="L138" t="str">
            <v>IKIZCE</v>
          </cell>
          <cell r="M138" t="str">
            <v>ORDU</v>
          </cell>
        </row>
        <row r="139">
          <cell r="G139" t="str">
            <v>675506</v>
          </cell>
          <cell r="H139" t="str">
            <v>Bim</v>
          </cell>
          <cell r="I139" t="str">
            <v>BIM A.S. (D294 YEŞİLIRMAK ÇARŞAMBA)</v>
          </cell>
          <cell r="J139" t="str">
            <v>Aktif</v>
          </cell>
          <cell r="K139" t="str">
            <v>KİRAZLIK ÇAY MH. DEĞİRMENBAŞI CD. NO:10 ÇARSAMBA SAMSUN</v>
          </cell>
          <cell r="L139" t="str">
            <v>ÇARSAMBA</v>
          </cell>
          <cell r="M139" t="str">
            <v>SAMSUN</v>
          </cell>
        </row>
        <row r="140">
          <cell r="G140" t="str">
            <v>676158</v>
          </cell>
          <cell r="H140" t="str">
            <v>Bim</v>
          </cell>
          <cell r="I140" t="str">
            <v>BIM A.S. (Q334 KULELİ / ATAKUM)</v>
          </cell>
          <cell r="J140" t="str">
            <v>Aktif</v>
          </cell>
          <cell r="K140" t="str">
            <v>ESENEVLER MH. 392 SK. NO:5-A ADRES KODU:2806340150 ALAÇAM SAMSUN</v>
          </cell>
          <cell r="L140" t="str">
            <v>ALAÇAM</v>
          </cell>
          <cell r="M140" t="str">
            <v>SAMSUN</v>
          </cell>
        </row>
        <row r="141">
          <cell r="G141" t="str">
            <v>677500</v>
          </cell>
          <cell r="H141" t="str">
            <v>Bim</v>
          </cell>
          <cell r="I141" t="str">
            <v>BIM A.S. (Q335 NİŞANTAŞI ATAKUM)</v>
          </cell>
          <cell r="J141" t="str">
            <v>Aktif</v>
          </cell>
          <cell r="K141" t="str">
            <v>KÜÇÜKKOLPINAR MAH NİŞANTAŞI CD. NO:75/C ATAKUM SAMSUN</v>
          </cell>
          <cell r="L141" t="str">
            <v>ATAKUM</v>
          </cell>
          <cell r="M141" t="str">
            <v>SAMSUN</v>
          </cell>
        </row>
        <row r="142">
          <cell r="G142" t="str">
            <v>684718</v>
          </cell>
          <cell r="H142" t="str">
            <v>Bim</v>
          </cell>
          <cell r="I142" t="str">
            <v>BIM A.S. (Q336 VATAN CADDESİ / ATAKUM)</v>
          </cell>
          <cell r="J142" t="str">
            <v>Aktif</v>
          </cell>
          <cell r="K142" t="str">
            <v>YENİ MH. VATAN CD. NO:34/A ATAKUM SAMSUN</v>
          </cell>
          <cell r="L142" t="str">
            <v>ATAKUM</v>
          </cell>
          <cell r="M142" t="str">
            <v>SAMSUN</v>
          </cell>
        </row>
        <row r="143">
          <cell r="G143" t="str">
            <v>874391</v>
          </cell>
          <cell r="H143" t="str">
            <v>Bim</v>
          </cell>
          <cell r="I143" t="str">
            <v>BIM A.S. (T160 ELÇİBEY BAFRA)</v>
          </cell>
          <cell r="J143" t="str">
            <v>Aktif</v>
          </cell>
          <cell r="K143" t="str">
            <v>BAHÇELER MAH ELÇİBEY CAD. NO:144 BAFRA SAMSUN</v>
          </cell>
          <cell r="L143" t="str">
            <v>BAFRA</v>
          </cell>
          <cell r="M143" t="str">
            <v>SAMSUN</v>
          </cell>
        </row>
        <row r="144">
          <cell r="G144" t="str">
            <v>688308</v>
          </cell>
          <cell r="H144" t="str">
            <v>Bim</v>
          </cell>
          <cell r="I144" t="str">
            <v>BIM A.S. (D872 AYVACIK SAMSUN)</v>
          </cell>
          <cell r="J144" t="str">
            <v>Aktif</v>
          </cell>
          <cell r="K144" t="str">
            <v>ORHANGAZİ MH. RECEP TAYYİP ERDOĞAN SK. NO:2/Z   AYVACIK SAMSUN</v>
          </cell>
          <cell r="L144" t="str">
            <v>AYVACIK</v>
          </cell>
          <cell r="M144" t="str">
            <v>SAMSUN</v>
          </cell>
        </row>
        <row r="145">
          <cell r="G145" t="str">
            <v>554426</v>
          </cell>
          <cell r="H145" t="str">
            <v>Bim</v>
          </cell>
          <cell r="I145" t="str">
            <v>BIM A.S. (Q316 BÜYÜK CAMİ / BAFRA)</v>
          </cell>
          <cell r="J145" t="str">
            <v>Aktif</v>
          </cell>
          <cell r="K145" t="str">
            <v>BÜYÜKCAMİ MAH. PARK CAD. NO:48/C BAFRA SAMSUN</v>
          </cell>
          <cell r="L145" t="str">
            <v>BAFRA</v>
          </cell>
          <cell r="M145" t="str">
            <v>SAMSUN</v>
          </cell>
        </row>
        <row r="146">
          <cell r="G146" t="str">
            <v>694339</v>
          </cell>
          <cell r="H146" t="str">
            <v>Bim</v>
          </cell>
          <cell r="I146" t="str">
            <v>BIM A.S. (Q339 EMEK / ATAKUM)</v>
          </cell>
          <cell r="J146" t="str">
            <v>Aktif</v>
          </cell>
          <cell r="K146" t="str">
            <v>CUMHURİYET MH. 99.SK. NO:3/A ATAKUM SAMSUN</v>
          </cell>
          <cell r="L146" t="str">
            <v>ATAKUM</v>
          </cell>
          <cell r="M146" t="str">
            <v>SAMSUN</v>
          </cell>
        </row>
        <row r="147">
          <cell r="G147" t="str">
            <v>695848</v>
          </cell>
          <cell r="H147" t="str">
            <v>Bim</v>
          </cell>
          <cell r="I147" t="str">
            <v>BIM A.S. (G797 ÇAY MAHALLESİ ÇARŞAMBA SAMSUN)</v>
          </cell>
          <cell r="J147" t="str">
            <v>Aktif</v>
          </cell>
          <cell r="K147" t="str">
            <v>ÇAY MH. SÜLEYMAN PAŞA CD. YEŞİLADA APT. NO:12/14-AA-AB ÇARSAMBA SAMSUN</v>
          </cell>
          <cell r="L147" t="str">
            <v>ÇARSAMBA</v>
          </cell>
          <cell r="M147" t="str">
            <v>SAMSUN</v>
          </cell>
        </row>
        <row r="148">
          <cell r="G148" t="str">
            <v>699531</v>
          </cell>
          <cell r="H148" t="str">
            <v>Bim</v>
          </cell>
          <cell r="I148" t="str">
            <v>BIM A.S. (G310 KAFKAS İLKADIM SAMSUN)</v>
          </cell>
          <cell r="J148" t="str">
            <v>Aktif</v>
          </cell>
          <cell r="K148" t="str">
            <v>DEREBAHÇE MH. KAFKAS SK. NO:47/13-14-15-16 ILKADIM SAMSUN</v>
          </cell>
          <cell r="L148" t="str">
            <v>ILKADIM</v>
          </cell>
          <cell r="M148" t="str">
            <v>SAMSUN</v>
          </cell>
        </row>
        <row r="149">
          <cell r="G149" t="str">
            <v>586625</v>
          </cell>
          <cell r="H149" t="str">
            <v>Bim</v>
          </cell>
          <cell r="I149" t="str">
            <v>BIM A.S. (Q386 GERZE / SİNOP)</v>
          </cell>
          <cell r="J149" t="str">
            <v>Aktif</v>
          </cell>
          <cell r="K149" t="str">
            <v>HAMİDİYE MAH. OKULLAR CAD. NO:2 GERZE SINOP</v>
          </cell>
          <cell r="L149" t="str">
            <v>GERZE</v>
          </cell>
          <cell r="M149" t="str">
            <v>SINOP</v>
          </cell>
        </row>
        <row r="150">
          <cell r="G150" t="str">
            <v>699534</v>
          </cell>
          <cell r="H150" t="str">
            <v>Bim</v>
          </cell>
          <cell r="I150" t="str">
            <v>BIM A.S. (Q276 BURUNUCU ÜNYE ORDU)</v>
          </cell>
          <cell r="J150" t="str">
            <v>Aktif</v>
          </cell>
          <cell r="K150" t="str">
            <v>BURUNCU MH. TAŞHANE SK. NO:22/A ÜNYE ORDU</v>
          </cell>
          <cell r="L150" t="str">
            <v>ÜNYE</v>
          </cell>
          <cell r="M150" t="str">
            <v>ORDU</v>
          </cell>
        </row>
        <row r="151">
          <cell r="G151" t="str">
            <v>699535</v>
          </cell>
          <cell r="H151" t="str">
            <v>Bim</v>
          </cell>
          <cell r="I151" t="str">
            <v>BIM A.S. (Q277 AKKUŞ ORDU)</v>
          </cell>
          <cell r="J151" t="str">
            <v>Aktif</v>
          </cell>
          <cell r="K151" t="str">
            <v>MERKEZ MH. İSTİKLAL CD. NO:17/15-A AKKUS ORDU</v>
          </cell>
          <cell r="L151" t="str">
            <v>AKKUS</v>
          </cell>
          <cell r="M151" t="str">
            <v>ORDU</v>
          </cell>
        </row>
        <row r="152">
          <cell r="G152" t="str">
            <v>708325</v>
          </cell>
          <cell r="H152" t="str">
            <v>Bim</v>
          </cell>
          <cell r="I152" t="str">
            <v>BIM A.S. (H349 SARICALI ÇARŞAMBA SAMSUN)</v>
          </cell>
          <cell r="J152" t="str">
            <v>Aktif</v>
          </cell>
          <cell r="K152" t="str">
            <v>SARICALI MH. YUNUS EMRE CD. NO:257/A ÇARSAMBA SAMSUN</v>
          </cell>
          <cell r="L152" t="str">
            <v>ÇARSAMBA</v>
          </cell>
          <cell r="M152" t="str">
            <v>SAMSUN</v>
          </cell>
        </row>
        <row r="153">
          <cell r="G153" t="str">
            <v>710327</v>
          </cell>
          <cell r="H153" t="str">
            <v>Bim</v>
          </cell>
          <cell r="I153" t="str">
            <v>BIM A.S. (Q340 KOLPINAR / ATAKUM)</v>
          </cell>
          <cell r="J153" t="str">
            <v>Aktif</v>
          </cell>
          <cell r="K153" t="str">
            <v>ESENEVLER MH. 365. SK. NO:27 / A ATAKUM SAMSUN</v>
          </cell>
          <cell r="L153" t="str">
            <v>ATAKUM</v>
          </cell>
          <cell r="M153" t="str">
            <v>SAMSUN</v>
          </cell>
        </row>
        <row r="154">
          <cell r="G154" t="str">
            <v>710537</v>
          </cell>
          <cell r="H154" t="str">
            <v>Bim</v>
          </cell>
          <cell r="I154" t="str">
            <v>BIM A.S. (H442 30 AĞUSTOS İLKADIM SAMSUN)</v>
          </cell>
          <cell r="J154" t="str">
            <v>Aktif</v>
          </cell>
          <cell r="K154" t="str">
            <v>ESENEVLER MH. 365. SK. NO:27  A ATAKUM ÇATALARMUT MH.. 30 AĞUSTOS CD. NO:209  ILKADIM SAMSUN</v>
          </cell>
          <cell r="L154" t="str">
            <v>ILKADIM</v>
          </cell>
          <cell r="M154" t="str">
            <v>SAMSUN</v>
          </cell>
        </row>
        <row r="155">
          <cell r="G155" t="str">
            <v>710538</v>
          </cell>
          <cell r="H155" t="str">
            <v>Bim</v>
          </cell>
          <cell r="I155" t="str">
            <v>BIM A.S. (H441 HASKÖY CANİK SAMSUN)</v>
          </cell>
          <cell r="J155" t="str">
            <v>Aktif</v>
          </cell>
          <cell r="K155" t="str">
            <v>HASKÖY MH. CENGİZ TOPEL CD. NO:150/2    CANIK SAMSUN</v>
          </cell>
          <cell r="L155" t="str">
            <v>CANIK</v>
          </cell>
          <cell r="M155" t="str">
            <v>SAMSUN</v>
          </cell>
        </row>
        <row r="156">
          <cell r="G156" t="str">
            <v>711264</v>
          </cell>
          <cell r="H156" t="str">
            <v>Bim</v>
          </cell>
          <cell r="I156" t="str">
            <v>BIM A.S. (Q278 ÇAYBAŞI ORDU)</v>
          </cell>
          <cell r="J156" t="str">
            <v>Aktif</v>
          </cell>
          <cell r="K156" t="str">
            <v>ÇINAR MH. TALİP BAYRAK CD. NO:20/1 ÇAYBASI ORDU</v>
          </cell>
          <cell r="L156" t="str">
            <v>ÇAYBASI</v>
          </cell>
          <cell r="M156" t="str">
            <v>ORDU</v>
          </cell>
        </row>
        <row r="157">
          <cell r="G157" t="str">
            <v>712549</v>
          </cell>
          <cell r="H157" t="str">
            <v>Bim</v>
          </cell>
          <cell r="I157" t="str">
            <v>BIM A.S. (Q279 İLKÜVEZ ÇAYBAŞI ORDU)</v>
          </cell>
          <cell r="J157" t="str">
            <v>Aktif</v>
          </cell>
          <cell r="K157" t="str">
            <v>İLKÜVEZ MH. ÜNYE CD. NO:40/1-A ÇAYBASI ORDU</v>
          </cell>
          <cell r="L157" t="str">
            <v>ÇAYBASI</v>
          </cell>
          <cell r="M157" t="str">
            <v>ORDU</v>
          </cell>
        </row>
        <row r="158">
          <cell r="G158" t="str">
            <v>713852</v>
          </cell>
          <cell r="H158" t="str">
            <v>Bim</v>
          </cell>
          <cell r="I158" t="str">
            <v>BIM A.S. (H621 ÇİFTE HAMAM İLKADIM SAMSUN)</v>
          </cell>
          <cell r="J158" t="str">
            <v>Aktif</v>
          </cell>
          <cell r="K158" t="str">
            <v>UNKAPANI MAH. ALKUŞ SOK. ALTAY APART. NO:17/ 20-21 ILKADIM SAMSUN</v>
          </cell>
          <cell r="L158" t="str">
            <v>ILKADIM</v>
          </cell>
          <cell r="M158" t="str">
            <v>SAMSUN</v>
          </cell>
        </row>
        <row r="159">
          <cell r="G159" t="str">
            <v>718497</v>
          </cell>
          <cell r="H159" t="str">
            <v>Bim</v>
          </cell>
          <cell r="I159" t="str">
            <v>BIM A.S. (J570 AYDEDE CANİK SAMSUN)</v>
          </cell>
          <cell r="J159" t="str">
            <v>Aktif</v>
          </cell>
          <cell r="K159" t="str">
            <v>GAZİOSMANPAŞA MAH. AYDINOĞULLARI SOK. NO:25/AA CANIK SAMSUN</v>
          </cell>
          <cell r="L159" t="str">
            <v>CANIK</v>
          </cell>
          <cell r="M159" t="str">
            <v>SAMSUN</v>
          </cell>
        </row>
        <row r="160">
          <cell r="G160" t="str">
            <v>720406</v>
          </cell>
          <cell r="H160" t="str">
            <v>Bim</v>
          </cell>
          <cell r="I160" t="str">
            <v>BIM A.S. (J604 KURTULUŞ TEKKEKÖY SAMSUN)</v>
          </cell>
          <cell r="J160" t="str">
            <v>Aktif</v>
          </cell>
          <cell r="K160" t="str">
            <v>19 MAYIS MAH. HACI ALİ EKİNCİ BULVARI NO:29/B TEKKEKÖY SAMSUN</v>
          </cell>
          <cell r="L160" t="str">
            <v>TEKKEKÖY</v>
          </cell>
          <cell r="M160" t="str">
            <v>SAMSUN</v>
          </cell>
        </row>
        <row r="161">
          <cell r="G161" t="str">
            <v>723329</v>
          </cell>
          <cell r="H161" t="str">
            <v>Bim</v>
          </cell>
          <cell r="I161" t="str">
            <v>BIM A.S. (J642 ULUDAĞ CANİK SAMSUN)</v>
          </cell>
          <cell r="J161" t="str">
            <v>Aktif</v>
          </cell>
          <cell r="K161" t="str">
            <v>ULUDAĞ MAH. İSKİLİP SOK. NO: 24 / 11 CANIK SAMSUN</v>
          </cell>
          <cell r="L161" t="str">
            <v>CANIK</v>
          </cell>
          <cell r="M161" t="str">
            <v>SAMSUN</v>
          </cell>
        </row>
        <row r="162">
          <cell r="G162" t="str">
            <v>793540</v>
          </cell>
          <cell r="H162" t="str">
            <v>Bim</v>
          </cell>
          <cell r="I162" t="str">
            <v>BIM A.S. (Q366 SAYGI / BAFRA)</v>
          </cell>
          <cell r="J162" t="str">
            <v>Aktif</v>
          </cell>
          <cell r="K162" t="str">
            <v>CİLHANE MH. YENİ 3 SK. NO:15 BAFRA SAMSUN</v>
          </cell>
          <cell r="L162" t="str">
            <v>BAFRA</v>
          </cell>
          <cell r="M162" t="str">
            <v>SAMSUN</v>
          </cell>
        </row>
        <row r="163">
          <cell r="G163" t="str">
            <v>613369</v>
          </cell>
          <cell r="H163" t="str">
            <v>Bim</v>
          </cell>
          <cell r="I163" t="str">
            <v>BIM A.S. (Q328 KUŞCENNETİ / 19 MAYIS)</v>
          </cell>
          <cell r="J163" t="str">
            <v>Aktif</v>
          </cell>
          <cell r="K163" t="str">
            <v>CUMHURİYET MH. 23 NİSAN CD. İNCİ SİT. A/APT. NO:2 /1 BAFRA SAMSUN</v>
          </cell>
          <cell r="L163" t="str">
            <v>BAFRA</v>
          </cell>
          <cell r="M163" t="str">
            <v>SAMSUN</v>
          </cell>
        </row>
        <row r="164">
          <cell r="G164" t="str">
            <v>730521</v>
          </cell>
          <cell r="H164" t="str">
            <v>Bim</v>
          </cell>
          <cell r="I164" t="str">
            <v>BIM A.S. (Q347 KIBRIS / ATAKUM)</v>
          </cell>
          <cell r="J164" t="str">
            <v>Aktif</v>
          </cell>
          <cell r="K164" t="str">
            <v>YENİ MAH. 3417. CAD. NO:63 / A-B ADRES KODU: 3500220268 -1595582337 ATAKUM SAMSUN</v>
          </cell>
          <cell r="L164" t="str">
            <v>ATAKUM</v>
          </cell>
          <cell r="M164" t="str">
            <v>SAMSUN</v>
          </cell>
        </row>
        <row r="165">
          <cell r="G165" t="str">
            <v>730522</v>
          </cell>
          <cell r="H165" t="str">
            <v>Bim</v>
          </cell>
          <cell r="I165" t="str">
            <v>BIM A.S. (Q346 ATATEPE / ATAKUM)</v>
          </cell>
          <cell r="J165" t="str">
            <v>Aktif</v>
          </cell>
          <cell r="K165" t="str">
            <v>ATATEPE MAH. 3510 SOK. NO:2A-B ADRES KODU: 1435982192 / 3202027011 ATAKUM SAMSUN</v>
          </cell>
          <cell r="L165" t="str">
            <v>ATAKUM</v>
          </cell>
          <cell r="M165" t="str">
            <v>SAMSUN</v>
          </cell>
        </row>
        <row r="166">
          <cell r="G166" t="str">
            <v>730908</v>
          </cell>
          <cell r="H166" t="str">
            <v>Bim</v>
          </cell>
          <cell r="I166" t="str">
            <v>BIM A.S. (Q343 VALİ KONAĞI / ATAKUM)</v>
          </cell>
          <cell r="J166" t="str">
            <v>Aktif</v>
          </cell>
          <cell r="K166" t="str">
            <v>CUMHURİYET MAH. 44. SOK. NO:4A ADRES KODU:1959167907 ATAKUM SAMSUN</v>
          </cell>
          <cell r="L166" t="str">
            <v>ATAKUM</v>
          </cell>
          <cell r="M166" t="str">
            <v>SAMSUN</v>
          </cell>
        </row>
        <row r="167">
          <cell r="G167" t="str">
            <v>730909</v>
          </cell>
          <cell r="H167" t="str">
            <v>Bim</v>
          </cell>
          <cell r="I167" t="str">
            <v>BIM A.S. (T078 AMİSOS / İLKADIM)</v>
          </cell>
          <cell r="J167" t="str">
            <v>Aktif</v>
          </cell>
          <cell r="K167" t="str">
            <v>BARUTHANE MAH. SORGUN SOK. NO:6 C BLOK 1-2-3 ADRES KODU:2756234700 - 2755934714 - 2755634728 ILKADIM SAMSUN</v>
          </cell>
          <cell r="L167" t="str">
            <v>ILKADIM</v>
          </cell>
          <cell r="M167" t="str">
            <v>SAMSUN</v>
          </cell>
        </row>
        <row r="168">
          <cell r="G168" t="str">
            <v>729675</v>
          </cell>
          <cell r="H168" t="str">
            <v>Bim</v>
          </cell>
          <cell r="I168" t="str">
            <v>BIM A.S. (Q345 ÇİLHANE / BAFRA)</v>
          </cell>
          <cell r="J168" t="str">
            <v>Aktif</v>
          </cell>
          <cell r="K168" t="str">
            <v>ÇİLHANE MAH. BELEDİYE CAD. ÖZMENLER İŞ HANI SİTESİ NO:8/A BAFRA SAMSUN</v>
          </cell>
          <cell r="L168" t="str">
            <v>BAFRA</v>
          </cell>
          <cell r="M168" t="str">
            <v>SAMSUN</v>
          </cell>
        </row>
        <row r="169">
          <cell r="G169" t="str">
            <v>732555</v>
          </cell>
          <cell r="H169" t="str">
            <v>Bim</v>
          </cell>
          <cell r="I169" t="str">
            <v>BIM A.S. (Q349 AZERBEYCAN / ATAKUM)</v>
          </cell>
          <cell r="J169" t="str">
            <v>Aktif</v>
          </cell>
          <cell r="K169" t="str">
            <v>CUMHURİYET MAH. AZERBEYCAN CAD.NO: 20B 5383294344 ATAKUM SAMSUN</v>
          </cell>
          <cell r="L169" t="str">
            <v>ATAKUM</v>
          </cell>
          <cell r="M169" t="str">
            <v>SAMSUN</v>
          </cell>
        </row>
        <row r="170">
          <cell r="G170" t="str">
            <v>540183</v>
          </cell>
          <cell r="H170" t="str">
            <v>Bim</v>
          </cell>
          <cell r="I170" t="str">
            <v>BIM A.S. (Q313 EMİREFENDİ / BAFRA)</v>
          </cell>
          <cell r="J170" t="str">
            <v>Aktif</v>
          </cell>
          <cell r="K170" t="str">
            <v>EMİR EFENDİ MAH.BARIŞMANÇO CAD.DEGİRMENCİOĞLU APT.NO:41/B BAFRA SAMSUN</v>
          </cell>
          <cell r="L170" t="str">
            <v>BAFRA</v>
          </cell>
          <cell r="M170" t="str">
            <v>SAMSUN</v>
          </cell>
        </row>
        <row r="171">
          <cell r="G171" t="str">
            <v>735350</v>
          </cell>
          <cell r="H171" t="str">
            <v>Bim</v>
          </cell>
          <cell r="I171" t="str">
            <v>BIM A.S. (J869 GEBİ İLKADIM SAMSUN)</v>
          </cell>
          <cell r="J171" t="str">
            <v>Aktif</v>
          </cell>
          <cell r="K171" t="str">
            <v>TEPECİK MAH. 1571 SOK. NO:19/20 ILKADIM SAMSUN</v>
          </cell>
          <cell r="L171" t="str">
            <v>ILKADIM</v>
          </cell>
          <cell r="M171" t="str">
            <v>SAMSUN</v>
          </cell>
        </row>
        <row r="172">
          <cell r="G172" t="str">
            <v>735351</v>
          </cell>
          <cell r="H172" t="str">
            <v>Bim</v>
          </cell>
          <cell r="I172" t="str">
            <v>BIM A.S. (J882 KÖPRÜBAŞI TEKKEKÖY SAMSUN)</v>
          </cell>
          <cell r="J172" t="str">
            <v>Aktif</v>
          </cell>
          <cell r="K172" t="str">
            <v>ÇAY MAH. ŞEYH ZEYNEDDİN CAD. NO:199 /17-18 TEKKEKÖY SAMSUN</v>
          </cell>
          <cell r="L172" t="str">
            <v>TEKKEKÖY</v>
          </cell>
          <cell r="M172" t="str">
            <v>SAMSUN</v>
          </cell>
        </row>
        <row r="173">
          <cell r="G173" t="str">
            <v>736164</v>
          </cell>
          <cell r="H173" t="str">
            <v>Bim</v>
          </cell>
          <cell r="I173" t="str">
            <v>BIM A.S. (Q280 SARAÇLI ÜNYE ORDU)</v>
          </cell>
          <cell r="J173" t="str">
            <v>Aktif</v>
          </cell>
          <cell r="K173" t="str">
            <v>SARAÇLI MAH. AKKUŞ NİKSAR CAD. NO: 275 A ÜNYE ORDU</v>
          </cell>
          <cell r="L173" t="str">
            <v>ÜNYE</v>
          </cell>
          <cell r="M173" t="str">
            <v>ORDU</v>
          </cell>
        </row>
        <row r="174">
          <cell r="G174" t="str">
            <v>737915</v>
          </cell>
          <cell r="H174" t="str">
            <v>Bim</v>
          </cell>
          <cell r="I174" t="str">
            <v>BIM A.S. (J963 YUNUS EMRE ÇARŞAMBA SAMSUN)</v>
          </cell>
          <cell r="J174" t="str">
            <v>Aktif</v>
          </cell>
          <cell r="K174" t="str">
            <v>SARICALI MAH. YUNUS EMRE CAD. NO:160 A-B ADRES KODU: 5400391255-5225702116 ÇARSAMBA SAMSUN</v>
          </cell>
          <cell r="L174" t="str">
            <v>ÇARSAMBA</v>
          </cell>
          <cell r="M174" t="str">
            <v>SAMSUN</v>
          </cell>
        </row>
        <row r="175">
          <cell r="G175" t="str">
            <v>737916</v>
          </cell>
          <cell r="H175" t="str">
            <v>Bim</v>
          </cell>
          <cell r="I175" t="str">
            <v>BIM A.S. (Q351 BORNOVA / ATAKUM)</v>
          </cell>
          <cell r="J175" t="str">
            <v>Aktif</v>
          </cell>
          <cell r="K175" t="str">
            <v>MEVLANA MAH. BORNOVA CAD. NO:144AADRES KODU:5125247246 ATAKUM SAMSUN</v>
          </cell>
          <cell r="L175" t="str">
            <v>ATAKUM</v>
          </cell>
          <cell r="M175" t="str">
            <v>SAMSUN</v>
          </cell>
        </row>
        <row r="176">
          <cell r="G176" t="str">
            <v>738143</v>
          </cell>
          <cell r="H176" t="str">
            <v>Bim</v>
          </cell>
          <cell r="I176" t="str">
            <v>BIM A.S. (Q281 HAMİDİYE ÜNYE ORDU)</v>
          </cell>
          <cell r="J176" t="str">
            <v>Aktif</v>
          </cell>
          <cell r="K176" t="str">
            <v>HAMİDİYE MAH. HACI EMİN CAD. NO: 48 A BİNA KODU: 45021390 ADRES KODU :5419106306 ÜNYE ORDU</v>
          </cell>
          <cell r="L176" t="str">
            <v>ÜNYE</v>
          </cell>
          <cell r="M176" t="str">
            <v>ORDU</v>
          </cell>
        </row>
        <row r="177">
          <cell r="G177" t="str">
            <v>520563</v>
          </cell>
          <cell r="H177" t="str">
            <v>Bim</v>
          </cell>
          <cell r="I177" t="str">
            <v>BIM A.S. (Q407 SEYİT BİLAL / SİNOP)</v>
          </cell>
          <cell r="J177" t="str">
            <v>Aktif</v>
          </cell>
          <cell r="K177" t="str">
            <v>ADA MAH ATMACA SOK. NO:4/A MERKEZ SINOP</v>
          </cell>
          <cell r="L177" t="str">
            <v>MERKEZ</v>
          </cell>
          <cell r="M177" t="str">
            <v>SINOP</v>
          </cell>
        </row>
        <row r="178">
          <cell r="G178" t="str">
            <v>739944</v>
          </cell>
          <cell r="H178" t="str">
            <v>Bim</v>
          </cell>
          <cell r="I178" t="str">
            <v>BIM A.S. (Q282 ÇEVREYOLU ÜNYE ORDU)</v>
          </cell>
          <cell r="J178" t="str">
            <v>Aktif</v>
          </cell>
          <cell r="K178" t="str">
            <v>NURİYE MH. DEVLET SAHİL YOLU CD. NO:75/A ÜNYE ORDU</v>
          </cell>
          <cell r="L178" t="str">
            <v>ÜNYE</v>
          </cell>
          <cell r="M178" t="str">
            <v>ORDU</v>
          </cell>
        </row>
        <row r="179">
          <cell r="G179" t="str">
            <v>746209</v>
          </cell>
          <cell r="H179" t="str">
            <v>Bim</v>
          </cell>
          <cell r="I179" t="str">
            <v>BIM A.S. (K342 ASMAALTI ÇARŞAMBA SAMSUN)</v>
          </cell>
          <cell r="J179" t="str">
            <v>Aktif</v>
          </cell>
          <cell r="K179" t="str">
            <v>YEŞİLIRMAK MAH. SUNGURLU CAD. NO:59/A ADRES KODU : 1749452718 ÇARSAMBA SAMSUN</v>
          </cell>
          <cell r="L179" t="str">
            <v>ÇARSAMBA</v>
          </cell>
          <cell r="M179" t="str">
            <v>SAMSUN</v>
          </cell>
        </row>
        <row r="180">
          <cell r="G180" t="str">
            <v>448693</v>
          </cell>
          <cell r="H180" t="str">
            <v>Bim</v>
          </cell>
          <cell r="I180" t="str">
            <v>BIM A.S. (Q308 TERMİNAL / BAFRA)</v>
          </cell>
          <cell r="J180" t="str">
            <v>Aktif</v>
          </cell>
          <cell r="K180" t="str">
            <v>EMİREFENDİ MAH SÜLEYMAN TÜRK CAD. NO:17/A BAFRA SAMSUN</v>
          </cell>
          <cell r="L180" t="str">
            <v>BAFRA</v>
          </cell>
          <cell r="M180" t="str">
            <v>SAMSUN</v>
          </cell>
        </row>
        <row r="181">
          <cell r="G181" t="str">
            <v>747461</v>
          </cell>
          <cell r="H181" t="str">
            <v>Bim</v>
          </cell>
          <cell r="I181" t="str">
            <v>BIM A.S. (K290 DİKBIYIK ÇARŞAMBA SAMSUN)</v>
          </cell>
          <cell r="J181" t="str">
            <v>Aktif</v>
          </cell>
          <cell r="K181" t="str">
            <v>DİKBIYIK MERKEZ MAH. LİSE CAD. NO:28/D  ÇARSAMBA SAMSUN</v>
          </cell>
          <cell r="L181" t="str">
            <v>ÇARSAMBA</v>
          </cell>
          <cell r="M181" t="str">
            <v>SAMSUN</v>
          </cell>
        </row>
        <row r="182">
          <cell r="G182" t="str">
            <v>747832</v>
          </cell>
          <cell r="H182" t="str">
            <v>Bim</v>
          </cell>
          <cell r="I182" t="str">
            <v>BIM A.S. (K520 KUTLUKENT TEKKEKÖY SAMSUN)</v>
          </cell>
          <cell r="J182" t="str">
            <v>Aktif</v>
          </cell>
          <cell r="K182" t="str">
            <v>İSTİKLAL MAH. KANUNİ SULTAN SÜLEYMAN CAD. NO:3B ADRES KODU:5278645386 TEKKEKÖY SAMSUN</v>
          </cell>
          <cell r="L182" t="str">
            <v>TEKKEKÖY</v>
          </cell>
          <cell r="M182" t="str">
            <v>SAMSUN</v>
          </cell>
        </row>
        <row r="183">
          <cell r="G183" t="str">
            <v>749562</v>
          </cell>
          <cell r="H183" t="str">
            <v>Bim</v>
          </cell>
          <cell r="I183" t="str">
            <v>BIM A.S. (Q382 ÜNİVERSİTE / VEZİRKÖPRÜ)</v>
          </cell>
          <cell r="J183" t="str">
            <v>Aktif</v>
          </cell>
          <cell r="K183" t="str">
            <v>TAŞKALE MAH.ŞEHİT UZM ÇVŞ.ADNAN ULUIŞIK CAD.NO:55 VEZIRKÖPRÜ SAMSUN</v>
          </cell>
          <cell r="L183" t="str">
            <v>VEZIRKÖPRÜ</v>
          </cell>
          <cell r="M183" t="str">
            <v>SAMSUN</v>
          </cell>
        </row>
        <row r="184">
          <cell r="G184" t="str">
            <v>749865</v>
          </cell>
          <cell r="H184" t="str">
            <v>Bim</v>
          </cell>
          <cell r="I184" t="str">
            <v>BIM A.S. (Q283 OSMAN AKÇAY ÜNYE ORDU)</v>
          </cell>
          <cell r="J184" t="str">
            <v>Aktif</v>
          </cell>
          <cell r="K184" t="str">
            <v>GÖLEVİ MAH.TOKİ 1. SOK. ÇARŞI KONUTLARI SİT. C BLOK APT. NO: 22 CB BİNA KODU :38143776 ADRES KODU : 5226492238 ÜNYE ORDU</v>
          </cell>
          <cell r="L184" t="str">
            <v>ÜNYE</v>
          </cell>
          <cell r="M184" t="str">
            <v>ORDU</v>
          </cell>
        </row>
        <row r="185">
          <cell r="G185" t="str">
            <v>942084</v>
          </cell>
          <cell r="H185" t="str">
            <v>Bim</v>
          </cell>
          <cell r="I185" t="str">
            <v>BIM A.S. (V371 MERCAN BAFRA SAMSUN)</v>
          </cell>
          <cell r="J185" t="str">
            <v>Aktif</v>
          </cell>
          <cell r="K185" t="str">
            <v>FEVZİ ÇAKMAK MAH MERCAN SOK. NO:17A BAFRA SAMSUN</v>
          </cell>
          <cell r="L185" t="str">
            <v>BAFRA</v>
          </cell>
          <cell r="M185" t="str">
            <v>SAMSUN</v>
          </cell>
        </row>
        <row r="186">
          <cell r="G186" t="str">
            <v>760424</v>
          </cell>
          <cell r="H186" t="str">
            <v>Bim</v>
          </cell>
          <cell r="I186" t="str">
            <v>BIM A.S. (L244 MAHMUDİYE)</v>
          </cell>
          <cell r="J186" t="str">
            <v>Aktif</v>
          </cell>
          <cell r="K186" t="str">
            <v>ULUDAĞ MAH. MAHMUDİYE CAD. NO:45/1 CANIK SAMSUN</v>
          </cell>
          <cell r="L186" t="str">
            <v>CANIK</v>
          </cell>
          <cell r="M186" t="str">
            <v>SAMSUN</v>
          </cell>
        </row>
        <row r="187">
          <cell r="G187" t="str">
            <v>773616</v>
          </cell>
          <cell r="H187" t="str">
            <v>Bim</v>
          </cell>
          <cell r="I187" t="str">
            <v>BIM A.S. (Q401 SAHİL SİNOP)</v>
          </cell>
          <cell r="J187" t="str">
            <v>Aktif</v>
          </cell>
          <cell r="K187" t="str">
            <v>ADA MAH ENVER BAHADIR CAD. NO:25/1B MERKEZ SINOP</v>
          </cell>
          <cell r="L187" t="str">
            <v>MERKEZ</v>
          </cell>
          <cell r="M187" t="str">
            <v>SINOP</v>
          </cell>
        </row>
        <row r="188">
          <cell r="G188" t="str">
            <v>761720</v>
          </cell>
          <cell r="H188" t="str">
            <v>Bim</v>
          </cell>
          <cell r="I188" t="str">
            <v>BIM A.S. (Q284 ANAFARTALAR)</v>
          </cell>
          <cell r="J188" t="str">
            <v>Aktif</v>
          </cell>
          <cell r="K188" t="str">
            <v>ATATÜRK MAH. YASEMİN SK. NO:38 A -38 B ÜNYE ORDU</v>
          </cell>
          <cell r="L188" t="str">
            <v>ÜNYE</v>
          </cell>
          <cell r="M188" t="str">
            <v>ORDU</v>
          </cell>
        </row>
        <row r="189">
          <cell r="G189" t="str">
            <v>762438</v>
          </cell>
          <cell r="H189" t="str">
            <v>Bim</v>
          </cell>
          <cell r="I189" t="str">
            <v>BIM A.S. (Q355 ATACİTY / ATAKUM)</v>
          </cell>
          <cell r="J189" t="str">
            <v>Aktif</v>
          </cell>
          <cell r="K189" t="str">
            <v>YENİ MAHALLE MAH. 3417 CAD.NO:88 A ATAKUM SAMSUN</v>
          </cell>
          <cell r="L189" t="str">
            <v>ATAKUM</v>
          </cell>
          <cell r="M189" t="str">
            <v>SAMSUN</v>
          </cell>
        </row>
        <row r="190">
          <cell r="G190" t="str">
            <v>763454</v>
          </cell>
          <cell r="H190" t="str">
            <v>Bim</v>
          </cell>
          <cell r="I190" t="str">
            <v>BIM A.S. (Q358 İSTİKLAL / ATAKUM)</v>
          </cell>
          <cell r="J190" t="str">
            <v>Aktif</v>
          </cell>
          <cell r="K190" t="str">
            <v>İSTİKLAL MAH. ALPARSLAN BULVARI NO:120/A ATAKUM SAMSUN</v>
          </cell>
          <cell r="L190" t="str">
            <v>ATAKUM</v>
          </cell>
          <cell r="M190" t="str">
            <v>SAMSUN</v>
          </cell>
        </row>
        <row r="191">
          <cell r="G191" t="str">
            <v>763507</v>
          </cell>
          <cell r="H191" t="str">
            <v>Bim</v>
          </cell>
          <cell r="I191" t="str">
            <v>BIM A.S. (T079 ÇERKEZ ÇEŞMESİ / İLKADIM)</v>
          </cell>
          <cell r="J191" t="str">
            <v>Aktif</v>
          </cell>
          <cell r="K191" t="str">
            <v>KARA MAH. MARMARİS SOK. NO:1A ILKADIM SAMSUN</v>
          </cell>
          <cell r="L191" t="str">
            <v>ILKADIM</v>
          </cell>
          <cell r="M191" t="str">
            <v>SAMSUN</v>
          </cell>
        </row>
        <row r="192">
          <cell r="G192" t="str">
            <v>763622</v>
          </cell>
          <cell r="H192" t="str">
            <v>Bim</v>
          </cell>
          <cell r="I192" t="str">
            <v>BIM A.S. (Q359 GÖKDELEN / ATAKUM)</v>
          </cell>
          <cell r="J192" t="str">
            <v>Aktif</v>
          </cell>
          <cell r="K192" t="str">
            <v>BÜYÜKKOLPINAR MAH. ALAÇAM CAD. NO:161 C ATAKUM SAMSUN</v>
          </cell>
          <cell r="L192" t="str">
            <v>ATAKUM</v>
          </cell>
          <cell r="M192" t="str">
            <v>SAMSUN</v>
          </cell>
        </row>
        <row r="193">
          <cell r="G193" t="str">
            <v>729681</v>
          </cell>
          <cell r="H193" t="str">
            <v>Bim</v>
          </cell>
          <cell r="I193" t="str">
            <v>BIM A.S. (Q342 SANAYİ / BAFRA)</v>
          </cell>
          <cell r="J193" t="str">
            <v>Aktif</v>
          </cell>
          <cell r="K193" t="str">
            <v>FEVZİ ÇAKMAK MAH. AKSU 1. SOK. NO:30 BAFRA SAMSUN</v>
          </cell>
          <cell r="L193" t="str">
            <v>BAFRA</v>
          </cell>
          <cell r="M193" t="str">
            <v>SAMSUN</v>
          </cell>
        </row>
        <row r="194">
          <cell r="G194" t="str">
            <v>766051</v>
          </cell>
          <cell r="H194" t="str">
            <v>Bim</v>
          </cell>
          <cell r="I194" t="str">
            <v>BIM A.S. (Q361 BOĞAZİÇİ / ATAKUM)</v>
          </cell>
          <cell r="J194" t="str">
            <v>Aktif</v>
          </cell>
          <cell r="K194" t="str">
            <v>İSTİKLAL MAH. 865. SOK. ŞENTÜRK APART. B BLOK NO:12A ATAKUM SAMSUN</v>
          </cell>
          <cell r="L194" t="str">
            <v>ATAKUM</v>
          </cell>
          <cell r="M194" t="str">
            <v>SAMSUN</v>
          </cell>
        </row>
        <row r="195">
          <cell r="G195" t="str">
            <v>824566</v>
          </cell>
          <cell r="H195" t="str">
            <v>Bim</v>
          </cell>
          <cell r="I195" t="str">
            <v>BIM A.S. (Q475 DEDEDAĞA)</v>
          </cell>
          <cell r="J195" t="str">
            <v>Aktif</v>
          </cell>
          <cell r="K195" t="str">
            <v>FEVZİ ÇAKMAK MH. SAMSUN CD. NO:266/2  BAFRA SAMSUN</v>
          </cell>
          <cell r="L195" t="str">
            <v>BAFRA</v>
          </cell>
          <cell r="M195" t="str">
            <v>SAMSUN</v>
          </cell>
        </row>
        <row r="196">
          <cell r="G196" t="str">
            <v>768887</v>
          </cell>
          <cell r="H196" t="str">
            <v>Bim</v>
          </cell>
          <cell r="I196" t="str">
            <v>BIM A.S. (L614 KARA SAMSUN İLKADIM)</v>
          </cell>
          <cell r="J196" t="str">
            <v>Aktif</v>
          </cell>
          <cell r="K196" t="str">
            <v>ÇATALARMUT MAH. 259. SOK NO:2 /1 ILKADIM SAMSUN</v>
          </cell>
          <cell r="L196" t="str">
            <v>ILKADIM</v>
          </cell>
          <cell r="M196" t="str">
            <v>SAMSUN</v>
          </cell>
        </row>
        <row r="197">
          <cell r="G197" t="str">
            <v>768888</v>
          </cell>
          <cell r="H197" t="str">
            <v>Bim</v>
          </cell>
          <cell r="I197" t="str">
            <v>BIM A.S. (Q362 TRAMVAY / ATAKUM)</v>
          </cell>
          <cell r="J197" t="str">
            <v>Aktif</v>
          </cell>
          <cell r="K197" t="str">
            <v>YENİ MAH. İSMET İNÖNÜ BULV. NO:22A-B ATAKUM SAMSUN</v>
          </cell>
          <cell r="L197" t="str">
            <v>ATAKUM</v>
          </cell>
          <cell r="M197" t="str">
            <v>SAMSUN</v>
          </cell>
        </row>
        <row r="198">
          <cell r="G198" t="str">
            <v>768889</v>
          </cell>
          <cell r="H198" t="str">
            <v>Bim</v>
          </cell>
          <cell r="I198" t="str">
            <v>BIM A.S. (Q364 MİMOZA / ATAKUM)</v>
          </cell>
          <cell r="J198" t="str">
            <v>Aktif</v>
          </cell>
          <cell r="K198" t="str">
            <v>KÜÇÜKKOLPINAR MAH. ALAÇAM CAD. NO:110A-B ATAKUM SAMSUN</v>
          </cell>
          <cell r="L198" t="str">
            <v>ATAKUM</v>
          </cell>
          <cell r="M198" t="str">
            <v>SAMSUN</v>
          </cell>
        </row>
        <row r="199">
          <cell r="G199" t="str">
            <v>254444</v>
          </cell>
          <cell r="H199" t="str">
            <v>Bim</v>
          </cell>
          <cell r="I199" t="str">
            <v>BIM A.S. (Q301 GAZİPAŞA / BAFRA)</v>
          </cell>
          <cell r="J199" t="str">
            <v>Aktif</v>
          </cell>
          <cell r="K199" t="str">
            <v>GAZiOSMANPASA MH.STAT CD NO:57 BAFRA SAMSUN</v>
          </cell>
          <cell r="L199" t="str">
            <v>BAFRA</v>
          </cell>
          <cell r="M199" t="str">
            <v>SAMSUN</v>
          </cell>
        </row>
        <row r="200">
          <cell r="G200" t="str">
            <v>769286</v>
          </cell>
          <cell r="H200" t="str">
            <v>Bim</v>
          </cell>
          <cell r="I200" t="str">
            <v>BIM A.S. (Q285 PINAR ÜNYE)</v>
          </cell>
          <cell r="J200" t="str">
            <v>Aktif</v>
          </cell>
          <cell r="K200" t="str">
            <v>İPEKYOLU MAH. ŞHT.MEHMET AKSU SOK. NO: 25 A ÜNYE ORDU</v>
          </cell>
          <cell r="L200" t="str">
            <v>ÜNYE</v>
          </cell>
          <cell r="M200" t="str">
            <v>ORDU</v>
          </cell>
        </row>
        <row r="201">
          <cell r="G201" t="str">
            <v>769287</v>
          </cell>
          <cell r="H201" t="str">
            <v>Bim</v>
          </cell>
          <cell r="I201" t="str">
            <v>BIM A.S. (L695 YENİ AY İLKADIM)</v>
          </cell>
          <cell r="J201" t="str">
            <v>Aktif</v>
          </cell>
          <cell r="K201" t="str">
            <v>DEREBAHÇE MAH. YENİ AY SOK. NO:1-13/14 ILKADIM SAMSUN</v>
          </cell>
          <cell r="L201" t="str">
            <v>ILKADIM</v>
          </cell>
          <cell r="M201" t="str">
            <v>SAMSUN</v>
          </cell>
        </row>
        <row r="202">
          <cell r="G202" t="str">
            <v>772057</v>
          </cell>
          <cell r="H202" t="str">
            <v>Bim</v>
          </cell>
          <cell r="I202" t="str">
            <v>BIM A.S. (Q383 VİŞNELİ / HAVZA / SAMSUN)</v>
          </cell>
          <cell r="J202" t="str">
            <v>Aktif</v>
          </cell>
          <cell r="K202" t="str">
            <v>KARŞIYAKA MAH. VİŞNELİ SOK. NO:1/1 HAVZA SAMSUN</v>
          </cell>
          <cell r="L202" t="str">
            <v>HAVZA</v>
          </cell>
          <cell r="M202" t="str">
            <v>SAMSUN</v>
          </cell>
        </row>
        <row r="203">
          <cell r="G203" t="str">
            <v>905024</v>
          </cell>
          <cell r="H203" t="str">
            <v>Bim</v>
          </cell>
          <cell r="I203" t="str">
            <v>BIM A.S. (T540 DERSHANE SİNOP)</v>
          </cell>
          <cell r="J203" t="str">
            <v>Aktif</v>
          </cell>
          <cell r="K203" t="str">
            <v>ADA MAH KIZILTOPRAK SOK. NO:24/A MERKEZ SINOP</v>
          </cell>
          <cell r="L203" t="str">
            <v>MERKEZ</v>
          </cell>
          <cell r="M203" t="str">
            <v>SINOP</v>
          </cell>
        </row>
        <row r="204">
          <cell r="G204" t="str">
            <v>586631</v>
          </cell>
          <cell r="H204" t="str">
            <v>Bim</v>
          </cell>
          <cell r="I204" t="str">
            <v>BIM A.S. (Q404 ZEYTİNLİK / SİNOP)</v>
          </cell>
          <cell r="J204" t="str">
            <v>Aktif</v>
          </cell>
          <cell r="K204" t="str">
            <v>ADA MAH ZEYTİNLİK YOLU NO:23 MERKEZ SINOP</v>
          </cell>
          <cell r="L204" t="str">
            <v>MERKEZ</v>
          </cell>
          <cell r="M204" t="str">
            <v>SINOP</v>
          </cell>
        </row>
        <row r="205">
          <cell r="G205" t="str">
            <v>851733</v>
          </cell>
          <cell r="H205" t="str">
            <v>Bim</v>
          </cell>
          <cell r="I205" t="str">
            <v>BIM A.S. (Q903 AKLİMAN)</v>
          </cell>
          <cell r="J205" t="str">
            <v>Aktif</v>
          </cell>
          <cell r="K205" t="str">
            <v>AKLİMAN MAH (ABALI KÖYÜ) AKLİMAN KÜME EVLERİ NO:34/1A MERKEZ SINOP</v>
          </cell>
          <cell r="L205" t="str">
            <v>MERKEZ</v>
          </cell>
          <cell r="M205" t="str">
            <v>SINOP</v>
          </cell>
        </row>
        <row r="206">
          <cell r="G206" t="str">
            <v>776055</v>
          </cell>
          <cell r="H206" t="str">
            <v>Bim</v>
          </cell>
          <cell r="I206" t="str">
            <v>BIM A.S. (O084 HUZUR TERME)</v>
          </cell>
          <cell r="J206" t="str">
            <v>Aktif</v>
          </cell>
          <cell r="K206" t="str">
            <v>FENK MAH. ÇARŞAMBA CAD. NO:39 TERME SAMSUN</v>
          </cell>
          <cell r="L206" t="str">
            <v>TERME</v>
          </cell>
          <cell r="M206" t="str">
            <v>SAMSUN</v>
          </cell>
        </row>
        <row r="207">
          <cell r="G207" t="str">
            <v>777153</v>
          </cell>
          <cell r="H207" t="str">
            <v>Bim</v>
          </cell>
          <cell r="I207" t="str">
            <v>BIM A.S. (Q365 PAZARYERİ / ATAKUM)</v>
          </cell>
          <cell r="J207" t="str">
            <v>Aktif</v>
          </cell>
          <cell r="K207" t="str">
            <v>YENİ MAHALLE MAH. NECMETTİN ERBAKAN CD. NO:20 ATAKUM SAMSUN</v>
          </cell>
          <cell r="L207" t="str">
            <v>ATAKUM</v>
          </cell>
          <cell r="M207" t="str">
            <v>SAMSUN</v>
          </cell>
        </row>
        <row r="208">
          <cell r="G208" t="str">
            <v>777574</v>
          </cell>
          <cell r="H208" t="str">
            <v>Bim</v>
          </cell>
          <cell r="I208" t="str">
            <v>BIM A.S. (O142 HASANLI ÇARŞAMBA)</v>
          </cell>
          <cell r="J208" t="str">
            <v>Aktif</v>
          </cell>
          <cell r="K208" t="str">
            <v>SARICALI MAH. HASANLI CAD. NO:4A  ÇARSAMBA SAMSUN</v>
          </cell>
          <cell r="L208" t="str">
            <v>ÇARSAMBA</v>
          </cell>
          <cell r="M208" t="str">
            <v>SAMSUN</v>
          </cell>
        </row>
        <row r="209">
          <cell r="G209" t="str">
            <v>777575</v>
          </cell>
          <cell r="H209" t="str">
            <v>Bim</v>
          </cell>
          <cell r="I209" t="str">
            <v>BIM A.S. (O140 ADAPARK ÇARŞAMBA)</v>
          </cell>
          <cell r="J209" t="str">
            <v>Aktif</v>
          </cell>
          <cell r="K209" t="str">
            <v>ÇAY MAH. ŞEHİT UZMAN ONBAŞI RAMAZAN TAŞKIN CD..NO:1A ÇARSAMBA SAMSUN</v>
          </cell>
          <cell r="L209" t="str">
            <v>ÇARSAMBA</v>
          </cell>
          <cell r="M209" t="str">
            <v>SAMSUN</v>
          </cell>
        </row>
        <row r="210">
          <cell r="G210" t="str">
            <v>779220</v>
          </cell>
          <cell r="H210" t="str">
            <v>Bim</v>
          </cell>
          <cell r="I210" t="str">
            <v>BIM A.S. (O205 KAVACIK İLKADIM)</v>
          </cell>
          <cell r="J210" t="str">
            <v>Aktif</v>
          </cell>
          <cell r="K210" t="str">
            <v>KAVACIK MAH. 1494 SOK. NO:4/2  ILKADIM SAMSUN</v>
          </cell>
          <cell r="L210" t="str">
            <v>ILKADIM</v>
          </cell>
          <cell r="M210" t="str">
            <v>SAMSUN</v>
          </cell>
        </row>
        <row r="211">
          <cell r="G211" t="str">
            <v>781329</v>
          </cell>
          <cell r="H211" t="str">
            <v>Bim</v>
          </cell>
          <cell r="I211" t="str">
            <v>BIM A.S. (O518 ÇARŞAMBA GAZİ MAHALLESİ)</v>
          </cell>
          <cell r="J211" t="str">
            <v>Aktif</v>
          </cell>
          <cell r="K211" t="str">
            <v>GAZİ MAH. HASANLI CAD. NO:99  ÇARSAMBA SAMSUN</v>
          </cell>
          <cell r="L211" t="str">
            <v>ÇARSAMBA</v>
          </cell>
          <cell r="M211" t="str">
            <v>SAMSUN</v>
          </cell>
        </row>
        <row r="212">
          <cell r="G212" t="str">
            <v>783731</v>
          </cell>
          <cell r="H212" t="str">
            <v>Bim</v>
          </cell>
          <cell r="I212" t="str">
            <v>BIM A.S. (Q384 100. YIL / VEZİRKÖPRÜ / SAMSUN)</v>
          </cell>
          <cell r="J212" t="str">
            <v>Aktif</v>
          </cell>
          <cell r="K212" t="str">
            <v>KAVAKPINARI MAH  ÇAYIRBAŞI MAH. 100. YIL CAD. NO 160/1 VEZIRKÖPRÜ SAMSUN</v>
          </cell>
          <cell r="L212" t="str">
            <v>VEZIRKÖPRÜ</v>
          </cell>
          <cell r="M212" t="str">
            <v>SAMSUN</v>
          </cell>
        </row>
        <row r="213">
          <cell r="G213" t="str">
            <v>586619</v>
          </cell>
          <cell r="H213" t="str">
            <v>Bim</v>
          </cell>
          <cell r="I213" t="str">
            <v>BIM A.S. (Q402 GELİNCİK / SİNOP)</v>
          </cell>
          <cell r="J213" t="str">
            <v>Aktif</v>
          </cell>
          <cell r="K213" t="str">
            <v>GELINCIK MH. ACAR SK. 1 () MERKEZ SINOP</v>
          </cell>
          <cell r="L213" t="str">
            <v>MERKEZ</v>
          </cell>
          <cell r="M213" t="str">
            <v>SINOP</v>
          </cell>
        </row>
        <row r="214">
          <cell r="G214" t="str">
            <v>786483</v>
          </cell>
          <cell r="H214" t="str">
            <v>Bim</v>
          </cell>
          <cell r="I214" t="str">
            <v>BIM A.S. (P129 MUSA PAŞA ÇARŞAMBA)</v>
          </cell>
          <cell r="J214" t="str">
            <v>Aktif</v>
          </cell>
          <cell r="K214" t="str">
            <v>SARICALI MAH. MUSA PAŞA SOK. NO:3A  ÇARSAMBA SAMSUN</v>
          </cell>
          <cell r="L214" t="str">
            <v>ÇARSAMBA</v>
          </cell>
          <cell r="M214" t="str">
            <v>SAMSUN</v>
          </cell>
        </row>
        <row r="215">
          <cell r="G215" t="str">
            <v>788677</v>
          </cell>
          <cell r="H215" t="str">
            <v>Bim</v>
          </cell>
          <cell r="I215" t="str">
            <v>BIM A.S. (P174 BİRLİK TEKKEÖY)</v>
          </cell>
          <cell r="J215" t="str">
            <v>Aktif</v>
          </cell>
          <cell r="K215" t="str">
            <v>19 MAYIS MAH. 655. CAD. NO:27-29 A - B TEKKEKÖY SAMSUN</v>
          </cell>
          <cell r="L215" t="str">
            <v>TEKKEKÖY</v>
          </cell>
          <cell r="M215" t="str">
            <v>SAMSUN</v>
          </cell>
        </row>
        <row r="216">
          <cell r="G216" t="str">
            <v>859210</v>
          </cell>
          <cell r="H216" t="str">
            <v>Bim</v>
          </cell>
          <cell r="I216" t="str">
            <v>BIM A.S. (R219 LİSELER)</v>
          </cell>
          <cell r="J216" t="str">
            <v>Aktif</v>
          </cell>
          <cell r="K216" t="str">
            <v>GAZİPAŞA MAH LİSE CAD. NO:13A BAFRA SAMSUN</v>
          </cell>
          <cell r="L216" t="str">
            <v>BAFRA</v>
          </cell>
          <cell r="M216" t="str">
            <v>SAMSUN</v>
          </cell>
        </row>
        <row r="217">
          <cell r="G217" t="str">
            <v>554430</v>
          </cell>
          <cell r="H217" t="str">
            <v>Bim</v>
          </cell>
          <cell r="I217" t="str">
            <v>BIM A.S. (Q314 HÜKÜMET CD. / BAFRA)</v>
          </cell>
          <cell r="J217" t="str">
            <v>Aktif</v>
          </cell>
          <cell r="K217" t="str">
            <v>GAZİPAŞA MAH. HÜKÜMET CAD. NO:5/1B BAFRA SAMSUN</v>
          </cell>
          <cell r="L217" t="str">
            <v>BAFRA</v>
          </cell>
          <cell r="M217" t="str">
            <v>SAMSUN</v>
          </cell>
        </row>
        <row r="218">
          <cell r="G218" t="str">
            <v>795099</v>
          </cell>
          <cell r="H218" t="str">
            <v>Bim</v>
          </cell>
          <cell r="I218" t="str">
            <v>BIM A.S. (P371 KOCAMAN CADDESİ TERME)</v>
          </cell>
          <cell r="J218" t="str">
            <v>Aktif</v>
          </cell>
          <cell r="K218" t="str">
            <v>ÇAY MAH. KOCAMAN CAD. NO:51 A  TERME SAMSUN</v>
          </cell>
          <cell r="L218" t="str">
            <v>TERME</v>
          </cell>
          <cell r="M218" t="str">
            <v>SAMSUN</v>
          </cell>
        </row>
        <row r="219">
          <cell r="G219" t="str">
            <v>795100</v>
          </cell>
          <cell r="H219" t="str">
            <v>Bim</v>
          </cell>
          <cell r="I219" t="str">
            <v>BIM A.S. (T080 BARUTHANE / İLKADIM)</v>
          </cell>
          <cell r="J219" t="str">
            <v>Aktif</v>
          </cell>
          <cell r="K219" t="str">
            <v>BARUTHANE MAH. ANADOLU SOK. NO:23A-10 23B-11 ILKADIM SAMSUN</v>
          </cell>
          <cell r="L219" t="str">
            <v>ILKADIM</v>
          </cell>
          <cell r="M219" t="str">
            <v>SAMSUN</v>
          </cell>
        </row>
        <row r="220">
          <cell r="G220" t="str">
            <v>795393</v>
          </cell>
          <cell r="H220" t="str">
            <v>Bim</v>
          </cell>
          <cell r="I220" t="str">
            <v>BIM A.S. (Q286 BÜYÜKHAMZA ÜNYE)</v>
          </cell>
          <cell r="J220" t="str">
            <v>Aktif</v>
          </cell>
          <cell r="K220" t="str">
            <v>KALEDERE MAH. ÖZNUR KARTAL CAD. NO:20B ÜNYE ORDU</v>
          </cell>
          <cell r="L220" t="str">
            <v>ÜNYE</v>
          </cell>
          <cell r="M220" t="str">
            <v>ORDU</v>
          </cell>
        </row>
        <row r="221">
          <cell r="G221" t="str">
            <v>801811</v>
          </cell>
          <cell r="H221" t="str">
            <v>Bim</v>
          </cell>
          <cell r="I221" t="str">
            <v>BIM A.S. (P612 ÇAYIRLI İLKADIM)</v>
          </cell>
          <cell r="J221" t="str">
            <v>Aktif</v>
          </cell>
          <cell r="K221" t="str">
            <v>İLYASKÖY MAH ÇAYIRLI SOK. NO:2 /11-12-13 ILKADIM SAMSUN</v>
          </cell>
          <cell r="L221" t="str">
            <v>ILKADIM</v>
          </cell>
          <cell r="M221" t="str">
            <v>SAMSUN</v>
          </cell>
        </row>
        <row r="222">
          <cell r="G222" t="str">
            <v>216923</v>
          </cell>
          <cell r="H222" t="str">
            <v>Bim</v>
          </cell>
          <cell r="I222" t="str">
            <v>BIM A.S. (Q299 HACINABİ / BAFRA)</v>
          </cell>
          <cell r="J222" t="str">
            <v>Aktif</v>
          </cell>
          <cell r="K222" t="str">
            <v>HACINABİ MAH 19 MAYIS CAD. NO:13/4 BAFRA SAMSUN</v>
          </cell>
          <cell r="L222" t="str">
            <v>BAFRA</v>
          </cell>
          <cell r="M222" t="str">
            <v>SAMSUN</v>
          </cell>
        </row>
        <row r="223">
          <cell r="G223" t="str">
            <v>806719</v>
          </cell>
          <cell r="H223" t="str">
            <v>Bim</v>
          </cell>
          <cell r="I223" t="str">
            <v>BIM A.S. (Q370 ŞEHİT ÜNAL CADDESİ / ATAKUM)</v>
          </cell>
          <cell r="J223" t="str">
            <v>Aktif</v>
          </cell>
          <cell r="K223" t="str">
            <v>KÜÇÜKKOLPINAR MAH. 614 SOK. NO:9A ATAKUM SAMSUN</v>
          </cell>
          <cell r="L223" t="str">
            <v>ATAKUM</v>
          </cell>
          <cell r="M223" t="str">
            <v>SAMSUN</v>
          </cell>
        </row>
        <row r="224">
          <cell r="G224" t="str">
            <v>807099</v>
          </cell>
          <cell r="H224" t="str">
            <v>Bim</v>
          </cell>
          <cell r="I224" t="str">
            <v>BIM A.S. (P768 KOZLUK TERME)</v>
          </cell>
          <cell r="J224" t="str">
            <v>Aktif</v>
          </cell>
          <cell r="K224" t="str">
            <v>SAKARLI MAH. TERME ÜNYE CAD. NO:146B TERME SAMSUN</v>
          </cell>
          <cell r="L224" t="str">
            <v>TERME</v>
          </cell>
          <cell r="M224" t="str">
            <v>SAMSUN</v>
          </cell>
        </row>
        <row r="225">
          <cell r="G225" t="str">
            <v>807100</v>
          </cell>
          <cell r="H225" t="str">
            <v>Bim</v>
          </cell>
          <cell r="I225" t="str">
            <v>BIM A.S. (P766 SANAYİ BULVARI TERME)</v>
          </cell>
          <cell r="J225" t="str">
            <v>Aktif</v>
          </cell>
          <cell r="K225" t="str">
            <v>ÇAY MAH.SANAYİ BULVAR NO: 143 TERME SAMSUN</v>
          </cell>
          <cell r="L225" t="str">
            <v>TERME</v>
          </cell>
          <cell r="M225" t="str">
            <v>SAMSUN</v>
          </cell>
        </row>
        <row r="226">
          <cell r="G226" t="str">
            <v>810574</v>
          </cell>
          <cell r="H226" t="str">
            <v>Bim</v>
          </cell>
          <cell r="I226" t="str">
            <v>BIM A.S. (Q371 KARACA / ATAKUM)</v>
          </cell>
          <cell r="J226" t="str">
            <v>Aktif</v>
          </cell>
          <cell r="K226" t="str">
            <v>YENİ MAH. KIBRIS CAD. NO: 20-20A ATAKUM SAMSUN</v>
          </cell>
          <cell r="L226" t="str">
            <v>ATAKUM</v>
          </cell>
          <cell r="M226" t="str">
            <v>SAMSUN</v>
          </cell>
        </row>
        <row r="227">
          <cell r="G227" t="str">
            <v>811539</v>
          </cell>
          <cell r="H227" t="str">
            <v>Bim</v>
          </cell>
          <cell r="I227" t="str">
            <v>BIM A.S. (P953 MUHTEŞEM İLKADIM)</v>
          </cell>
          <cell r="J227" t="str">
            <v>Aktif</v>
          </cell>
          <cell r="K227" t="str">
            <v>ADALET MAH. MUHTEŞEM SÜLEYMAN CAD. NO:19A-1-2-B-1 ILKADIM SAMSUN</v>
          </cell>
          <cell r="L227" t="str">
            <v>ILKADIM</v>
          </cell>
          <cell r="M227" t="str">
            <v>SAMSUN</v>
          </cell>
        </row>
        <row r="228">
          <cell r="G228" t="str">
            <v>812411</v>
          </cell>
          <cell r="H228" t="str">
            <v>Bim</v>
          </cell>
          <cell r="I228" t="str">
            <v>BIM A.S. (Q015 BEREKET SALIPAZARI)</v>
          </cell>
          <cell r="J228" t="str">
            <v>Aktif</v>
          </cell>
          <cell r="K228" t="str">
            <v>BEREKET MAH. ÇARŞAMBA CAD. NO: 27A-27B SALIPAZARI SAMSUN</v>
          </cell>
          <cell r="L228" t="str">
            <v>SALIPAZARI</v>
          </cell>
          <cell r="M228" t="str">
            <v>SAMSUN</v>
          </cell>
        </row>
        <row r="229">
          <cell r="G229" t="str">
            <v>812738</v>
          </cell>
          <cell r="H229" t="str">
            <v>Bim</v>
          </cell>
          <cell r="I229" t="str">
            <v>BIM A.S. (Q041 ZIVALI İLKADIM SAMSUN)</v>
          </cell>
          <cell r="J229" t="str">
            <v>Aktif</v>
          </cell>
          <cell r="K229" t="str">
            <v>DEREBAHÇE MAH. 634. SOK. NO: 12B-1-16 ILKADIM SAMSUN</v>
          </cell>
          <cell r="L229" t="str">
            <v>ILKADIM</v>
          </cell>
          <cell r="M229" t="str">
            <v>SAMSUN</v>
          </cell>
        </row>
        <row r="230">
          <cell r="G230" t="str">
            <v>813818</v>
          </cell>
          <cell r="H230" t="str">
            <v>Bim</v>
          </cell>
          <cell r="I230" t="str">
            <v>BIM A.S. (Q373 İSTASYON/KAVAK/SAMSUN)</v>
          </cell>
          <cell r="J230" t="str">
            <v>Aktif</v>
          </cell>
          <cell r="K230" t="str">
            <v>19 MAYIS MAH. İSTASYON SOK. NO.5/1 KAVAK SAMSUN</v>
          </cell>
          <cell r="L230" t="str">
            <v>KAVAK</v>
          </cell>
          <cell r="M230" t="str">
            <v>SAMSUN</v>
          </cell>
        </row>
        <row r="231">
          <cell r="G231" t="str">
            <v>586333</v>
          </cell>
          <cell r="H231" t="str">
            <v>Bim</v>
          </cell>
          <cell r="I231" t="str">
            <v>BIM A.S. (Q290 BAFRA / SAMSUN)</v>
          </cell>
          <cell r="J231" t="str">
            <v>Aktif</v>
          </cell>
          <cell r="K231" t="str">
            <v>İSHAKLI MAH GENÇLİK CAD. NO:27 BAFRA SAMSUN</v>
          </cell>
          <cell r="L231" t="str">
            <v>BAFRA</v>
          </cell>
          <cell r="M231" t="str">
            <v>SAMSUN</v>
          </cell>
        </row>
        <row r="232">
          <cell r="G232" t="str">
            <v>818105</v>
          </cell>
          <cell r="H232" t="str">
            <v>Bim</v>
          </cell>
          <cell r="I232" t="str">
            <v>BIM A.S. (H149 GENÇLİK CADDESİ İLKADIM SAMSUN)</v>
          </cell>
          <cell r="J232" t="str">
            <v>Aktif</v>
          </cell>
          <cell r="K232" t="str">
            <v>CEDİT MH. GENÇLİK CD. NO:51/25-26-27-28 ILKADIM SAMSUN</v>
          </cell>
          <cell r="L232" t="str">
            <v>ILKADIM</v>
          </cell>
          <cell r="M232" t="str">
            <v>SAMSUN</v>
          </cell>
        </row>
        <row r="233">
          <cell r="G233" t="str">
            <v>823352</v>
          </cell>
          <cell r="H233" t="str">
            <v>Bim</v>
          </cell>
          <cell r="I233" t="str">
            <v>BIM A.S. (Q579 ALTINTEPE CANİK SAMSUN)</v>
          </cell>
          <cell r="J233" t="str">
            <v>Aktif</v>
          </cell>
          <cell r="K233" t="str">
            <v>TEKNEPINAR MAH. 596. CAD. NO:29/A-1 CANIK SAMSUN CANIK SAMSUN</v>
          </cell>
          <cell r="L233" t="str">
            <v>CANIK</v>
          </cell>
          <cell r="M233" t="str">
            <v>SAMSUN</v>
          </cell>
        </row>
        <row r="234">
          <cell r="G234" t="str">
            <v>824037</v>
          </cell>
          <cell r="H234" t="str">
            <v>Bim</v>
          </cell>
          <cell r="I234" t="str">
            <v>BIM A.S. (Q554 DOĞUŞ)</v>
          </cell>
          <cell r="J234" t="str">
            <v>Aktif</v>
          </cell>
          <cell r="K234" t="str">
            <v>CUMHURİYET MAH. LOZAN CAD. NO:26/A ATAKUM SAMSUN</v>
          </cell>
          <cell r="L234" t="str">
            <v>ATAKUM</v>
          </cell>
          <cell r="M234" t="str">
            <v>SAMSUN</v>
          </cell>
        </row>
        <row r="235">
          <cell r="G235" t="str">
            <v>824492</v>
          </cell>
          <cell r="H235" t="str">
            <v>Bim</v>
          </cell>
          <cell r="I235" t="str">
            <v>BIM A.S. (Q385 ÖMER HALİSDEMİR)</v>
          </cell>
          <cell r="J235" t="str">
            <v>Aktif</v>
          </cell>
          <cell r="K235" t="str">
            <v>ESENTEPE MAH. OMER HALİSDEMİR CAD. NO:26-1 VEZIRKÖPRÜ SAMSUN</v>
          </cell>
          <cell r="L235" t="str">
            <v>VEZIRKÖPRÜ</v>
          </cell>
          <cell r="M235" t="str">
            <v>SAMSUN</v>
          </cell>
        </row>
        <row r="236">
          <cell r="G236" t="str">
            <v>938959</v>
          </cell>
          <cell r="H236" t="str">
            <v>Bim</v>
          </cell>
          <cell r="I236" t="str">
            <v>BIM A.S. (V370 İSHAKLI BAFRA SAMSUN)</v>
          </cell>
          <cell r="J236" t="str">
            <v>Aktif</v>
          </cell>
          <cell r="K236" t="str">
            <v>İSHAKLI MAH GÖKTUĞ SOKAK NO:2/A BAFRA SAMSUN</v>
          </cell>
          <cell r="L236" t="str">
            <v>BAFRA</v>
          </cell>
          <cell r="M236" t="str">
            <v>SAMSUN</v>
          </cell>
        </row>
        <row r="237">
          <cell r="G237" t="str">
            <v>824690</v>
          </cell>
          <cell r="H237" t="str">
            <v>Bim</v>
          </cell>
          <cell r="I237" t="str">
            <v>BIM A.S. (Q121 YENİCE)</v>
          </cell>
          <cell r="J237" t="str">
            <v>Aktif</v>
          </cell>
          <cell r="K237" t="str">
            <v>İLYASKÖY MAH BUCA SOK. NO:2/B ILKADIM SAMSUN</v>
          </cell>
          <cell r="L237" t="str">
            <v>ILKADIM</v>
          </cell>
          <cell r="M237" t="str">
            <v>SAMSUN</v>
          </cell>
        </row>
        <row r="238">
          <cell r="G238" t="str">
            <v>825090</v>
          </cell>
          <cell r="H238" t="str">
            <v>Bim</v>
          </cell>
          <cell r="I238" t="str">
            <v>BIM A.S. (Q372 CAMİİ ALTI)</v>
          </cell>
          <cell r="J238" t="str">
            <v>Aktif</v>
          </cell>
          <cell r="K238" t="str">
            <v>ESENEVLER MAH. 377. SOK. NO:6  ATAKUM SAMSUN</v>
          </cell>
          <cell r="L238" t="str">
            <v>ATAKUM</v>
          </cell>
          <cell r="M238" t="str">
            <v>SAMSUN</v>
          </cell>
        </row>
        <row r="239">
          <cell r="G239" t="str">
            <v>825317</v>
          </cell>
          <cell r="H239" t="str">
            <v>Bim</v>
          </cell>
          <cell r="I239" t="str">
            <v>BIM A.S. (P769 VEFA)</v>
          </cell>
          <cell r="J239" t="str">
            <v>Aktif</v>
          </cell>
          <cell r="K239" t="str">
            <v>ORTA MAH TUNCAY KOCABAŞ SOK. NO:40/B ÇARSAMBA SAMSUN</v>
          </cell>
          <cell r="L239" t="str">
            <v>ÇARSAMBA</v>
          </cell>
          <cell r="M239" t="str">
            <v>SAMSUN</v>
          </cell>
        </row>
        <row r="240">
          <cell r="G240" t="str">
            <v>825319</v>
          </cell>
          <cell r="H240" t="str">
            <v>Bim</v>
          </cell>
          <cell r="I240" t="str">
            <v>BIM A.S. (Q287 ONUR MİNİ)</v>
          </cell>
          <cell r="J240" t="str">
            <v>Aktif</v>
          </cell>
          <cell r="K240" t="str">
            <v>FEVZİ ÇAKMAK MAH FEVZİ ÇAKMAK CAD. NO:252/A ÜNYE ORDU</v>
          </cell>
          <cell r="L240" t="str">
            <v>ÜNYE</v>
          </cell>
          <cell r="M240" t="str">
            <v>ORDU</v>
          </cell>
        </row>
        <row r="241">
          <cell r="G241" t="str">
            <v>828149</v>
          </cell>
          <cell r="H241" t="str">
            <v>Bim</v>
          </cell>
          <cell r="I241" t="str">
            <v>BIM A.S. (Q688 GÖKTÜRK)</v>
          </cell>
          <cell r="J241" t="str">
            <v>Aktif</v>
          </cell>
          <cell r="K241" t="str">
            <v>19 MAYIS MAH. 669 CAD. NO:18-1A  TEKKEKÖY SAMSUN</v>
          </cell>
          <cell r="L241" t="str">
            <v>TEKKEKÖY</v>
          </cell>
          <cell r="M241" t="str">
            <v>SAMSUN</v>
          </cell>
        </row>
        <row r="242">
          <cell r="G242" t="str">
            <v>828290</v>
          </cell>
          <cell r="H242" t="str">
            <v>Bim</v>
          </cell>
          <cell r="I242" t="str">
            <v>BIM A.S. (Q624 BAHÇELİEVLER)</v>
          </cell>
          <cell r="J242" t="str">
            <v>Aktif</v>
          </cell>
          <cell r="K242" t="str">
            <v>MEHMETPAŞA MAH DİKMEN SOK. NO:1/1 KAVAK SAMSUN</v>
          </cell>
          <cell r="L242" t="str">
            <v>KAVAK</v>
          </cell>
          <cell r="M242" t="str">
            <v>SAMSUN</v>
          </cell>
        </row>
        <row r="243">
          <cell r="G243" t="str">
            <v>828469</v>
          </cell>
          <cell r="H243" t="str">
            <v>Bim</v>
          </cell>
          <cell r="I243" t="str">
            <v>BIM A.S. (Q773 BEYKOZ MİNİ)</v>
          </cell>
          <cell r="J243" t="str">
            <v>Aktif</v>
          </cell>
          <cell r="K243" t="str">
            <v>KIŞLA MAH BEYKOZ SOK. NO:15 E-D-C-AB ILKADIM SAMSUN</v>
          </cell>
          <cell r="L243" t="str">
            <v>ILKADIM</v>
          </cell>
          <cell r="M243" t="str">
            <v>SAMSUN</v>
          </cell>
        </row>
        <row r="244">
          <cell r="G244" t="str">
            <v>828473</v>
          </cell>
          <cell r="H244" t="str">
            <v>Bim</v>
          </cell>
          <cell r="I244" t="str">
            <v>BIM A.S. (Q775 LOVELET)</v>
          </cell>
          <cell r="J244" t="str">
            <v>Aktif</v>
          </cell>
          <cell r="K244" t="str">
            <v>TOPTEPE MH. AŞIK VEYSEL CAD. NO:41 CANIK SAMSUN</v>
          </cell>
          <cell r="L244" t="str">
            <v>CANIK</v>
          </cell>
          <cell r="M244" t="str">
            <v>SAMSUN</v>
          </cell>
        </row>
        <row r="245">
          <cell r="G245" t="str">
            <v>830363</v>
          </cell>
          <cell r="H245" t="str">
            <v>Bim</v>
          </cell>
          <cell r="I245" t="str">
            <v>BIM A.S. (Q825 SANTRAL)</v>
          </cell>
          <cell r="J245" t="str">
            <v>Aktif</v>
          </cell>
          <cell r="K245" t="str">
            <v>YAŞARDOĞU MAH GAZİ ETHEM PAŞA BULV. NO:92/1 ILKADIM SAMSUN</v>
          </cell>
          <cell r="L245" t="str">
            <v>ILKADIM</v>
          </cell>
          <cell r="M245" t="str">
            <v>SAMSUN</v>
          </cell>
        </row>
        <row r="246">
          <cell r="G246" t="str">
            <v>830549</v>
          </cell>
          <cell r="H246" t="str">
            <v>Bim</v>
          </cell>
          <cell r="I246" t="str">
            <v>BIM A.S. (Q822 KORUPARK)</v>
          </cell>
          <cell r="J246" t="str">
            <v>Aktif</v>
          </cell>
          <cell r="K246" t="str">
            <v>YENİMAHALLE MAH AYDINLIK CAD. NO:74/B  ATAKUM SAMSUN</v>
          </cell>
          <cell r="L246" t="str">
            <v>ATAKUM</v>
          </cell>
          <cell r="M246" t="str">
            <v>SAMSUN</v>
          </cell>
        </row>
        <row r="247">
          <cell r="G247" t="str">
            <v>640294</v>
          </cell>
          <cell r="H247" t="str">
            <v>Bim</v>
          </cell>
          <cell r="I247" t="str">
            <v>BIM A.S. (Q330 TRAFİK / BAFRA)</v>
          </cell>
          <cell r="J247" t="str">
            <v>Aktif</v>
          </cell>
          <cell r="K247" t="str">
            <v>İSHAKLI MH. U.HASAN SK. KAZMAZ AP NO:1-5 BAFRA SAMSUN</v>
          </cell>
          <cell r="L247" t="str">
            <v>BAFRA</v>
          </cell>
          <cell r="M247" t="str">
            <v>SAMSUN</v>
          </cell>
        </row>
        <row r="248">
          <cell r="G248" t="str">
            <v>566101</v>
          </cell>
          <cell r="H248" t="str">
            <v>Bim</v>
          </cell>
          <cell r="I248" t="str">
            <v>BIM A.S. (Q409 KUMSAL / SİNOP)</v>
          </cell>
          <cell r="J248" t="str">
            <v>Aktif</v>
          </cell>
          <cell r="K248" t="str">
            <v>GELİNCİK MH.101 NO`LU SOK.NO:1 A () MERKEZ SINOP</v>
          </cell>
          <cell r="L248" t="str">
            <v>MERKEZ</v>
          </cell>
          <cell r="M248" t="str">
            <v>SINOP</v>
          </cell>
        </row>
        <row r="249">
          <cell r="G249" t="str">
            <v>851734</v>
          </cell>
          <cell r="H249" t="str">
            <v>Bim</v>
          </cell>
          <cell r="I249" t="str">
            <v>BIM A.S. (Q909 SOFRA)</v>
          </cell>
          <cell r="J249" t="str">
            <v>Aktif</v>
          </cell>
          <cell r="K249" t="str">
            <v>ATATÜRK MAH DEVLET SAHİL YOLU CD. NO:184/A ÜNYE ORDU</v>
          </cell>
          <cell r="L249" t="str">
            <v>ÜNYE</v>
          </cell>
          <cell r="M249" t="str">
            <v>ORDU</v>
          </cell>
        </row>
        <row r="250">
          <cell r="G250" t="str">
            <v>852275</v>
          </cell>
          <cell r="H250" t="str">
            <v>Bim</v>
          </cell>
          <cell r="I250" t="str">
            <v>BIM A.S. (Q911 ESENTEPE)</v>
          </cell>
          <cell r="J250" t="str">
            <v>Aktif</v>
          </cell>
          <cell r="K250" t="str">
            <v>KADIKÖY MAH OSMANİYE CAD. NO: 232/17 ILKADIM SAMSUN</v>
          </cell>
          <cell r="L250" t="str">
            <v>ILKADIM</v>
          </cell>
          <cell r="M250" t="str">
            <v>SAMSUN</v>
          </cell>
        </row>
        <row r="251">
          <cell r="G251" t="str">
            <v>852342</v>
          </cell>
          <cell r="H251" t="str">
            <v>Bim</v>
          </cell>
          <cell r="I251" t="str">
            <v>BIM A.S. (Q920 KOZAN MİNİ)</v>
          </cell>
          <cell r="J251" t="str">
            <v>Aktif</v>
          </cell>
          <cell r="K251" t="str">
            <v>ÇATALARMUT MAH 182 SK. NO:2 D:10 ILKADIM SAMSUN</v>
          </cell>
          <cell r="L251" t="str">
            <v>ILKADIM</v>
          </cell>
          <cell r="M251" t="str">
            <v>SAMSUN</v>
          </cell>
        </row>
        <row r="252">
          <cell r="G252" t="str">
            <v>854337</v>
          </cell>
          <cell r="H252" t="str">
            <v>Bim</v>
          </cell>
          <cell r="I252" t="str">
            <v>BIM A.S. (Q976 MAHMUTLU KAVAK SAMSUN)</v>
          </cell>
          <cell r="J252" t="str">
            <v>Aktif</v>
          </cell>
          <cell r="K252" t="str">
            <v>MAHMUTLU MAH SAPAK 1. SOK. NO:9/1 KAVAK SAMSUN</v>
          </cell>
          <cell r="L252" t="str">
            <v>KAVAK</v>
          </cell>
          <cell r="M252" t="str">
            <v>SAMSUN</v>
          </cell>
        </row>
        <row r="253">
          <cell r="G253" t="str">
            <v>854965</v>
          </cell>
          <cell r="H253" t="str">
            <v>Bim</v>
          </cell>
          <cell r="I253" t="str">
            <v>BIM A.S. (Q982 ORHANELİ)</v>
          </cell>
          <cell r="J253" t="str">
            <v>Aktif</v>
          </cell>
          <cell r="K253" t="str">
            <v>KIŞLA MAH 963. SOK. NO:2/1 ILKADIM SAMSUN</v>
          </cell>
          <cell r="L253" t="str">
            <v>ILKADIM</v>
          </cell>
          <cell r="M253" t="str">
            <v>SAMSUN</v>
          </cell>
        </row>
        <row r="254">
          <cell r="G254" t="str">
            <v>857981</v>
          </cell>
          <cell r="H254" t="str">
            <v>Bim</v>
          </cell>
          <cell r="I254" t="str">
            <v>BIM A.S. (R129 İSMETPAŞA)</v>
          </cell>
          <cell r="J254" t="str">
            <v>Aktif</v>
          </cell>
          <cell r="K254" t="str">
            <v>İSMETPAŞA MAH İSMETPAŞA CAD. NO:5/7B BAFRA SAMSUN</v>
          </cell>
          <cell r="L254" t="str">
            <v>BAFRA</v>
          </cell>
          <cell r="M254" t="str">
            <v>SAMSUN</v>
          </cell>
        </row>
        <row r="255">
          <cell r="G255" t="str">
            <v>586620</v>
          </cell>
          <cell r="H255" t="str">
            <v>Bim</v>
          </cell>
          <cell r="I255" t="str">
            <v>BIM A.S. (Q405 MEYDAN / SİNOP)</v>
          </cell>
          <cell r="J255" t="str">
            <v>Aktif</v>
          </cell>
          <cell r="K255" t="str">
            <v>KEFEVİ MAH HÜKÜMET SOK. NO:7 MERKEZ SINOP</v>
          </cell>
          <cell r="L255" t="str">
            <v>MERKEZ</v>
          </cell>
          <cell r="M255" t="str">
            <v>SINOP</v>
          </cell>
        </row>
        <row r="256">
          <cell r="G256" t="str">
            <v>857977</v>
          </cell>
          <cell r="H256" t="str">
            <v>Bim</v>
          </cell>
          <cell r="I256" t="str">
            <v>BIM A.S. (R122 ÇALIKUŞU)</v>
          </cell>
          <cell r="J256" t="str">
            <v>Aktif</v>
          </cell>
          <cell r="K256" t="str">
            <v>SOĞUKSU MAH ÇALIKUŞU SOK. NO:5/1 CANIK SAMSUN</v>
          </cell>
          <cell r="L256" t="str">
            <v>CANIK</v>
          </cell>
          <cell r="M256" t="str">
            <v>SAMSUN</v>
          </cell>
        </row>
        <row r="257">
          <cell r="G257" t="str">
            <v>694337</v>
          </cell>
          <cell r="H257" t="str">
            <v>Bim</v>
          </cell>
          <cell r="I257" t="str">
            <v>BIM A.S. (Q338 ŞAFAK / BAFRA)</v>
          </cell>
          <cell r="J257" t="str">
            <v>Aktif</v>
          </cell>
          <cell r="K257" t="str">
            <v>İSMETPAŞA MH. İSMETPAŞA CD. NO:49-51/A BAFRA SAMSUN</v>
          </cell>
          <cell r="L257" t="str">
            <v>BAFRA</v>
          </cell>
          <cell r="M257" t="str">
            <v>SAMSUN</v>
          </cell>
        </row>
        <row r="258">
          <cell r="G258" t="str">
            <v>857980</v>
          </cell>
          <cell r="H258" t="str">
            <v>Bim</v>
          </cell>
          <cell r="I258" t="str">
            <v>BIM A.S. (R141 ZAMBAK)</v>
          </cell>
          <cell r="J258" t="str">
            <v>Aktif</v>
          </cell>
          <cell r="K258" t="str">
            <v>KAVAKPINAR MAH SÜLEYMAN TÜRK CAD. NO:48 BAFRA SAMSUN</v>
          </cell>
          <cell r="L258" t="str">
            <v>BAFRA</v>
          </cell>
          <cell r="M258" t="str">
            <v>SAMSUN</v>
          </cell>
        </row>
        <row r="259">
          <cell r="G259" t="str">
            <v>557817</v>
          </cell>
          <cell r="H259" t="str">
            <v>Bim</v>
          </cell>
          <cell r="I259" t="str">
            <v>BIM A.S. (Q320 KAVAKPINAR / BAFRA)</v>
          </cell>
          <cell r="J259" t="str">
            <v>Aktif</v>
          </cell>
          <cell r="K259" t="str">
            <v>KAVAKPINAR MAH. 19 MAYIS CAD. NO:79 BAFRA SAMSUN</v>
          </cell>
          <cell r="L259" t="str">
            <v>BAFRA</v>
          </cell>
          <cell r="M259" t="str">
            <v>SAMSUN</v>
          </cell>
        </row>
        <row r="260">
          <cell r="G260" t="str">
            <v>860253</v>
          </cell>
          <cell r="H260" t="str">
            <v>Bim</v>
          </cell>
          <cell r="I260" t="str">
            <v>BIM A.S. (R510 YENİMAHALLE TERME)</v>
          </cell>
          <cell r="J260" t="str">
            <v>Aktif</v>
          </cell>
          <cell r="K260" t="str">
            <v>YENİ MAH SARAY CAD. NO:72 TERME SAMSUN</v>
          </cell>
          <cell r="L260" t="str">
            <v>TERME</v>
          </cell>
          <cell r="M260" t="str">
            <v>SAMSUN</v>
          </cell>
        </row>
        <row r="261">
          <cell r="G261" t="str">
            <v>786042</v>
          </cell>
          <cell r="H261" t="str">
            <v>Bim</v>
          </cell>
          <cell r="I261" t="str">
            <v>BIM A.S. (Q413 HASTANE / SİNOP)</v>
          </cell>
          <cell r="J261" t="str">
            <v>Aktif</v>
          </cell>
          <cell r="K261" t="str">
            <v>KORUCUK MAH. TIRKIŞLAR KÜME EVLERİ B. DEMİR BLOK NO:9/1D MERKEZ SINOP</v>
          </cell>
          <cell r="L261" t="str">
            <v>MERKEZ</v>
          </cell>
          <cell r="M261" t="str">
            <v>SINOP</v>
          </cell>
        </row>
        <row r="262">
          <cell r="G262" t="str">
            <v>746916</v>
          </cell>
          <cell r="H262" t="str">
            <v>Bim</v>
          </cell>
          <cell r="I262" t="str">
            <v>BIM A.S. (Q353 KEMALPAŞA / BAFRA)</v>
          </cell>
          <cell r="J262" t="str">
            <v>Aktif</v>
          </cell>
          <cell r="K262" t="str">
            <v>KEMAL PAŞA MAH. ŞEHİT MAHMUT ÖZCAN CAD. NO:4/B BAFRA SAMSUN</v>
          </cell>
          <cell r="L262" t="str">
            <v>BAFRA</v>
          </cell>
          <cell r="M262" t="str">
            <v>SAMSUN</v>
          </cell>
        </row>
        <row r="263">
          <cell r="G263" t="str">
            <v>861083</v>
          </cell>
          <cell r="H263" t="str">
            <v>Bim</v>
          </cell>
          <cell r="I263" t="str">
            <v>BIM A.S. (R764 BULVAR ATAKUM)</v>
          </cell>
          <cell r="J263" t="str">
            <v>Aktif</v>
          </cell>
          <cell r="K263" t="str">
            <v>ALANLI MAH 3417.CAD. NO:123A ATAKUM SAMSUN</v>
          </cell>
          <cell r="L263" t="str">
            <v>ATAKUM</v>
          </cell>
          <cell r="M263" t="str">
            <v>SAMSUN</v>
          </cell>
        </row>
        <row r="264">
          <cell r="G264" t="str">
            <v>861653</v>
          </cell>
          <cell r="H264" t="str">
            <v>Bim</v>
          </cell>
          <cell r="I264" t="str">
            <v>BIM A.S. (R848 KAHRAMANLAR BAFRA)</v>
          </cell>
          <cell r="J264" t="str">
            <v>Aktif</v>
          </cell>
          <cell r="K264" t="str">
            <v>KEMALPAŞA MAH BAKIRPINAR SOK. NO:75A BAFRA SAMSUN</v>
          </cell>
          <cell r="L264" t="str">
            <v>BAFRA</v>
          </cell>
          <cell r="M264" t="str">
            <v>SAMSUN</v>
          </cell>
        </row>
        <row r="265">
          <cell r="G265" t="str">
            <v>861693</v>
          </cell>
          <cell r="H265" t="str">
            <v>Bim</v>
          </cell>
          <cell r="I265" t="str">
            <v>BIM A.S. (R859 AKADEMİ ATAKUM)</v>
          </cell>
          <cell r="J265" t="str">
            <v>Aktif</v>
          </cell>
          <cell r="K265" t="str">
            <v>İSTİKLAL MAH 894. SOK. NO:26A ATAKUM SAMSUN</v>
          </cell>
          <cell r="L265" t="str">
            <v>ATAKUM</v>
          </cell>
          <cell r="M265" t="str">
            <v>SAMSUN</v>
          </cell>
        </row>
        <row r="266">
          <cell r="G266" t="str">
            <v>862896</v>
          </cell>
          <cell r="H266" t="str">
            <v>Bim</v>
          </cell>
          <cell r="I266" t="str">
            <v>BIM A.S. (T008 PANORAMA ATAKUM)</v>
          </cell>
          <cell r="J266" t="str">
            <v>Aktif</v>
          </cell>
          <cell r="K266" t="str">
            <v>ALANLI MAH 3609 CAD. NO:2BA ATAKUM SAMSUN</v>
          </cell>
          <cell r="L266" t="str">
            <v>ATAKUM</v>
          </cell>
          <cell r="M266" t="str">
            <v>SAMSUN</v>
          </cell>
        </row>
        <row r="267">
          <cell r="G267" t="str">
            <v>863697</v>
          </cell>
          <cell r="H267" t="str">
            <v>Bim</v>
          </cell>
          <cell r="I267" t="str">
            <v>BIM A.S. (T085 SAMGAZ ATAKUM)</v>
          </cell>
          <cell r="J267" t="str">
            <v>Aktif</v>
          </cell>
          <cell r="K267" t="str">
            <v>ESENEVLER MAH 310. SOK. NO:19/A ATAKUM SAMSUN</v>
          </cell>
          <cell r="L267" t="str">
            <v>ATAKUM</v>
          </cell>
          <cell r="M267" t="str">
            <v>SAMSUN</v>
          </cell>
        </row>
        <row r="268">
          <cell r="G268" t="str">
            <v>869074</v>
          </cell>
          <cell r="H268" t="str">
            <v>Bim</v>
          </cell>
          <cell r="I268" t="str">
            <v>BIM A.S. (R645 MİTHATPAŞA İLKADIM)</v>
          </cell>
          <cell r="J268" t="str">
            <v>Aktif</v>
          </cell>
          <cell r="K268" t="str">
            <v>TEPECİK MAH GEBİ CAD. NO:310A-19 ILKADIM SAMSUN</v>
          </cell>
          <cell r="L268" t="str">
            <v>ILKADIM</v>
          </cell>
          <cell r="M268" t="str">
            <v>SAMSUN</v>
          </cell>
        </row>
        <row r="269">
          <cell r="G269" t="str">
            <v>869075</v>
          </cell>
          <cell r="H269" t="str">
            <v>Bim</v>
          </cell>
          <cell r="I269" t="str">
            <v>BIM A.S. (R647 ÜSKÜP CANİK)</v>
          </cell>
          <cell r="J269" t="str">
            <v>Aktif</v>
          </cell>
          <cell r="K269" t="str">
            <v>HASKÖY MAH 170. SK NO:17A-B CANIK SAMSUN</v>
          </cell>
          <cell r="L269" t="str">
            <v>CANIK</v>
          </cell>
          <cell r="M269" t="str">
            <v>SAMSUN</v>
          </cell>
        </row>
        <row r="270">
          <cell r="G270" t="str">
            <v>869077</v>
          </cell>
          <cell r="H270" t="str">
            <v>Bim</v>
          </cell>
          <cell r="I270" t="str">
            <v>BIM A.S. (R811 BARAJYOLU ÇARŞAMBA)</v>
          </cell>
          <cell r="J270" t="str">
            <v>Aktif</v>
          </cell>
          <cell r="K270" t="str">
            <v>SARICALI MAH BARAJ YOLU CAD. NO:35A ÇARSAMBA SAMSUN</v>
          </cell>
          <cell r="L270" t="str">
            <v>ÇARSAMBA</v>
          </cell>
          <cell r="M270" t="str">
            <v>SAMSUN</v>
          </cell>
        </row>
        <row r="271">
          <cell r="G271" t="str">
            <v>869078</v>
          </cell>
          <cell r="H271" t="str">
            <v>Bim</v>
          </cell>
          <cell r="I271" t="str">
            <v>BIM A.S. (R834 UNİVERSİTE ÜNYE)</v>
          </cell>
          <cell r="J271" t="str">
            <v>Aktif</v>
          </cell>
          <cell r="K271" t="str">
            <v>GÖLEVİ MAH DEVLET SAHİL YOLU CAD. NO:835A ÜNYE ORDU</v>
          </cell>
          <cell r="L271" t="str">
            <v>ÜNYE</v>
          </cell>
          <cell r="M271" t="str">
            <v>ORDU</v>
          </cell>
        </row>
        <row r="272">
          <cell r="G272" t="str">
            <v>869079</v>
          </cell>
          <cell r="H272" t="str">
            <v>Bim</v>
          </cell>
          <cell r="I272" t="str">
            <v>BIM A.S. (T081 VADİ İLKADIM)</v>
          </cell>
          <cell r="J272" t="str">
            <v>Aktif</v>
          </cell>
          <cell r="K272" t="str">
            <v>KALKANCI MAH ŞEHİT POLİS MEMURU ATAKAN ARSLAN SK NO:90/10 ILKADIM SAMSUN</v>
          </cell>
          <cell r="L272" t="str">
            <v>ILKADIM</v>
          </cell>
          <cell r="M272" t="str">
            <v>SAMSUN</v>
          </cell>
        </row>
        <row r="273">
          <cell r="G273" t="str">
            <v>869081</v>
          </cell>
          <cell r="H273" t="str">
            <v>Bim</v>
          </cell>
          <cell r="I273" t="str">
            <v>BIM A.S. (R936 YEŞİLTEPE İLKADIM)</v>
          </cell>
          <cell r="J273" t="str">
            <v>Aktif</v>
          </cell>
          <cell r="K273" t="str">
            <v>KAVACIK MAH 1157 SK. NO:44A ILKADIM SAMSUN</v>
          </cell>
          <cell r="L273" t="str">
            <v>ILKADIM</v>
          </cell>
          <cell r="M273" t="str">
            <v>SAMSUN</v>
          </cell>
        </row>
        <row r="274">
          <cell r="G274" t="str">
            <v>869083</v>
          </cell>
          <cell r="H274" t="str">
            <v>Bim</v>
          </cell>
          <cell r="I274" t="str">
            <v>BIM A.S. (T083 ODUNPAZARI İLKADIM)</v>
          </cell>
          <cell r="J274" t="str">
            <v>Aktif</v>
          </cell>
          <cell r="K274" t="str">
            <v>YAŞARDOĞU MAH ŞEHİT TUNCAY KARATAŞ BULV. NO:80 ILKADIM SAMSUN</v>
          </cell>
          <cell r="L274" t="str">
            <v>ILKADIM</v>
          </cell>
          <cell r="M274" t="str">
            <v>SAMSUN</v>
          </cell>
        </row>
        <row r="275">
          <cell r="G275" t="str">
            <v>869084</v>
          </cell>
          <cell r="H275" t="str">
            <v>Bim</v>
          </cell>
          <cell r="I275" t="str">
            <v>BIM A.S. (R990 EKİNCİ BULVARI TEKKEKÖY)</v>
          </cell>
          <cell r="J275" t="str">
            <v>Aktif</v>
          </cell>
          <cell r="K275" t="str">
            <v>19 MAYIS MAH HACI EKİNCİ BULVARI NO:54 TEKKEKÖY SAMSUN</v>
          </cell>
          <cell r="L275" t="str">
            <v>TEKKEKÖY</v>
          </cell>
          <cell r="M275" t="str">
            <v>SAMSUN</v>
          </cell>
        </row>
        <row r="276">
          <cell r="G276" t="str">
            <v>869087</v>
          </cell>
          <cell r="H276" t="str">
            <v>Bim</v>
          </cell>
          <cell r="I276" t="str">
            <v>BIM A.S. (R937 ÇAMURLU ÜNYE)</v>
          </cell>
          <cell r="J276" t="str">
            <v>Aktif</v>
          </cell>
          <cell r="K276" t="str">
            <v>ÇAMURLU MAH SARAY CAD. NO:69A ÜNYE ORDU</v>
          </cell>
          <cell r="L276" t="str">
            <v>ÜNYE</v>
          </cell>
          <cell r="M276" t="str">
            <v>ORDU</v>
          </cell>
        </row>
        <row r="277">
          <cell r="G277" t="str">
            <v>869089</v>
          </cell>
          <cell r="H277" t="str">
            <v>Bim</v>
          </cell>
          <cell r="I277" t="str">
            <v>BIM A.S. (R989 ÜÇKÖPRÜ ÇARŞAMBA)</v>
          </cell>
          <cell r="J277" t="str">
            <v>Aktif</v>
          </cell>
          <cell r="K277" t="str">
            <v>ÜÇKÖPRÜ MAH YEŞİLBAĞ SK. NO:46/A ÇARSAMBA SAMSUN</v>
          </cell>
          <cell r="L277" t="str">
            <v>ÇARSAMBA</v>
          </cell>
          <cell r="M277" t="str">
            <v>SAMSUN</v>
          </cell>
        </row>
        <row r="278">
          <cell r="G278" t="str">
            <v>813925</v>
          </cell>
          <cell r="H278" t="str">
            <v>Bim</v>
          </cell>
          <cell r="I278" t="str">
            <v>BIM A.S. (Q374 KIZILIRMAK BAFRA)</v>
          </cell>
          <cell r="J278" t="str">
            <v>Aktif</v>
          </cell>
          <cell r="K278" t="str">
            <v>KIZILIRMAK MAH. YAVUZ SULTAN SELİM 1 SOK. NO:1/D BAFRA SAMSUN</v>
          </cell>
          <cell r="L278" t="str">
            <v>BAFRA</v>
          </cell>
          <cell r="M278" t="str">
            <v>SAMSUN</v>
          </cell>
        </row>
        <row r="279">
          <cell r="G279" t="str">
            <v>875158</v>
          </cell>
          <cell r="H279" t="str">
            <v>Bim</v>
          </cell>
          <cell r="I279" t="str">
            <v>BIM A.S. (T363 AMBARKÖY LADİK)</v>
          </cell>
          <cell r="J279" t="str">
            <v>Aktif</v>
          </cell>
          <cell r="K279" t="str">
            <v>SANAYİ MAH GAZİLER CAD. NO:124A LÂDIK SAMSUN</v>
          </cell>
          <cell r="L279" t="str">
            <v>LÂDIK</v>
          </cell>
          <cell r="M279" t="str">
            <v>SAMSUN</v>
          </cell>
        </row>
        <row r="280">
          <cell r="G280" t="str">
            <v>878557</v>
          </cell>
          <cell r="H280" t="str">
            <v>Bim</v>
          </cell>
          <cell r="I280" t="str">
            <v>BIM A.S. (T359 İZMİR CADDESİ ATAKUM)</v>
          </cell>
          <cell r="J280" t="str">
            <v>Aktif</v>
          </cell>
          <cell r="K280" t="str">
            <v>YENİMAHALLE MAH İZMIR CADDESİ NO:16A ATAKUM SAMSUN</v>
          </cell>
          <cell r="L280" t="str">
            <v>ATAKUM</v>
          </cell>
          <cell r="M280" t="str">
            <v>SAMSUN</v>
          </cell>
        </row>
        <row r="281">
          <cell r="G281" t="str">
            <v>699533</v>
          </cell>
          <cell r="H281" t="str">
            <v>Bim</v>
          </cell>
          <cell r="I281" t="str">
            <v>BIM A.S. (Q412 KALE SİNOP)</v>
          </cell>
          <cell r="J281" t="str">
            <v>Aktif</v>
          </cell>
          <cell r="K281" t="str">
            <v>MEYDANKAPI MAH NALBANT SK. NO:32/1 MERKEZ SINOP</v>
          </cell>
          <cell r="L281" t="str">
            <v>MERKEZ</v>
          </cell>
          <cell r="M281" t="str">
            <v>SINOP</v>
          </cell>
        </row>
        <row r="282">
          <cell r="G282" t="str">
            <v>881093</v>
          </cell>
          <cell r="H282" t="str">
            <v>Bim</v>
          </cell>
          <cell r="I282" t="str">
            <v>BIM A.S. (T462 SİNOP CADDESİ İLKADIM)</v>
          </cell>
          <cell r="J282" t="str">
            <v>Aktif</v>
          </cell>
          <cell r="K282" t="str">
            <v>FEVZİ ÇAKMAK MAH SAADETTİN HOCA SOK. NO:14B ILKADIM SAMSUN</v>
          </cell>
          <cell r="L282" t="str">
            <v>ILKADIM</v>
          </cell>
          <cell r="M282" t="str">
            <v>SAMSUN</v>
          </cell>
        </row>
        <row r="283">
          <cell r="G283" t="str">
            <v>901843</v>
          </cell>
          <cell r="H283" t="str">
            <v>Bim</v>
          </cell>
          <cell r="I283" t="str">
            <v>BIM A.S. (T482 ANKARA BULVARI İLKADIM)</v>
          </cell>
          <cell r="J283" t="str">
            <v>Aktif</v>
          </cell>
          <cell r="K283" t="str">
            <v>TEPECİK MAH GEBİ CAD. NO:360 A/B ILKADIM SAMSUN</v>
          </cell>
          <cell r="L283" t="str">
            <v>ILKADIM</v>
          </cell>
          <cell r="M283" t="str">
            <v>SAMSUN</v>
          </cell>
        </row>
        <row r="284">
          <cell r="G284" t="str">
            <v>212755</v>
          </cell>
          <cell r="H284" t="str">
            <v>Bim</v>
          </cell>
          <cell r="I284" t="str">
            <v>BIM A.S. (Q406 AŞIKLAR / SİNOP)</v>
          </cell>
          <cell r="J284" t="str">
            <v>Aktif</v>
          </cell>
          <cell r="K284" t="str">
            <v>YENİ MAH DR. AHMET ÖRS CAD. NO:17 MERKEZ SINOP</v>
          </cell>
          <cell r="L284" t="str">
            <v>MERKEZ</v>
          </cell>
          <cell r="M284" t="str">
            <v>SINOP</v>
          </cell>
        </row>
        <row r="285">
          <cell r="G285" t="str">
            <v>905025</v>
          </cell>
          <cell r="H285" t="str">
            <v>Bim</v>
          </cell>
          <cell r="I285" t="str">
            <v>BIM A.S. (T544 ÇAKALLI KAVAK)</v>
          </cell>
          <cell r="J285" t="str">
            <v>Aktif</v>
          </cell>
          <cell r="K285" t="str">
            <v>ÇAKALLI MAH MERKEZ 4 SOK. NO:103 KAVAK SAMSUN</v>
          </cell>
          <cell r="L285" t="str">
            <v>KAVAK</v>
          </cell>
          <cell r="M285" t="str">
            <v>SAMSUN</v>
          </cell>
        </row>
        <row r="286">
          <cell r="G286" t="str">
            <v>906806</v>
          </cell>
          <cell r="H286" t="str">
            <v>Bim</v>
          </cell>
          <cell r="I286" t="str">
            <v>BIM A.S. (T580 ÇAKIRTEPE ÜNYE)</v>
          </cell>
          <cell r="J286" t="str">
            <v>Aktif</v>
          </cell>
          <cell r="K286" t="str">
            <v>ATATÜRK MAH HÜSEYİN KUŞÇU CAD. NO:32B ÜNYE ORDU</v>
          </cell>
          <cell r="L286" t="str">
            <v>ÜNYE</v>
          </cell>
          <cell r="M286" t="str">
            <v>ORDU</v>
          </cell>
        </row>
        <row r="287">
          <cell r="G287" t="str">
            <v>908007</v>
          </cell>
          <cell r="H287" t="str">
            <v>Bim</v>
          </cell>
          <cell r="I287" t="str">
            <v>BIM A.S. (T659 BÜYÜKLÜ TEKKEKÖY)</v>
          </cell>
          <cell r="J287" t="str">
            <v>Aktif</v>
          </cell>
          <cell r="K287" t="str">
            <v>BÜYÜKLÜ MAH SAMSUN CAD. NO:126B TEKKEKÖY SAMSUN</v>
          </cell>
          <cell r="L287" t="str">
            <v>TEKKEKÖY</v>
          </cell>
          <cell r="M287" t="str">
            <v>SAMSUN</v>
          </cell>
        </row>
        <row r="288">
          <cell r="G288" t="str">
            <v>651833</v>
          </cell>
          <cell r="H288" t="str">
            <v>Bim</v>
          </cell>
          <cell r="I288" t="str">
            <v>BIM A.S. (Q410 ADA / SİNOP)</v>
          </cell>
          <cell r="J288" t="str">
            <v>Aktif</v>
          </cell>
          <cell r="K288" t="str">
            <v>ZİYTİNLİK MH. PAZARYOLU SK. NO:12/A () MERKEZ SINOP</v>
          </cell>
          <cell r="L288" t="str">
            <v>MERKEZ</v>
          </cell>
          <cell r="M288" t="str">
            <v>SINOP</v>
          </cell>
        </row>
        <row r="289">
          <cell r="G289" t="str">
            <v>908125</v>
          </cell>
          <cell r="H289" t="str">
            <v>Bim</v>
          </cell>
          <cell r="I289" t="str">
            <v>BIM A.S. (T611 KUBA İLKADIM)</v>
          </cell>
          <cell r="J289" t="str">
            <v>Aktif</v>
          </cell>
          <cell r="K289" t="str">
            <v>CEDİT MAH BOL SK. NO:35 ILKADIM SAMSUN</v>
          </cell>
          <cell r="L289" t="str">
            <v>ILKADIM</v>
          </cell>
          <cell r="M289" t="str">
            <v>SAMSUN</v>
          </cell>
        </row>
        <row r="290">
          <cell r="G290" t="str">
            <v>908129</v>
          </cell>
          <cell r="H290" t="str">
            <v>Bim</v>
          </cell>
          <cell r="I290" t="str">
            <v>BIM A.S. (T661 KIZILCIKDİBİ İLKADIM)</v>
          </cell>
          <cell r="J290" t="str">
            <v>Aktif</v>
          </cell>
          <cell r="K290" t="str">
            <v>KADİFEKALE MAH KIZILCIK DİBİ SK. NO:7 ILKADIM SAMSUN</v>
          </cell>
          <cell r="L290" t="str">
            <v>ILKADIM</v>
          </cell>
          <cell r="M290" t="str">
            <v>SAMSUN</v>
          </cell>
        </row>
        <row r="291">
          <cell r="G291" t="str">
            <v>908578</v>
          </cell>
          <cell r="H291" t="str">
            <v>Bim</v>
          </cell>
          <cell r="I291" t="str">
            <v>BIM A.S. (T594 HİSARCIK ASARCIK)</v>
          </cell>
          <cell r="J291" t="str">
            <v>Aktif</v>
          </cell>
          <cell r="K291" t="str">
            <v>BİÇİNCİK MAH ADNAN MENDERES CAD. NO:15 ASARCIK SAMSUN</v>
          </cell>
          <cell r="L291" t="str">
            <v>ASARCIK</v>
          </cell>
          <cell r="M291" t="str">
            <v>SAMSUN</v>
          </cell>
        </row>
        <row r="292">
          <cell r="G292" t="str">
            <v>909379</v>
          </cell>
          <cell r="H292" t="str">
            <v>Bim</v>
          </cell>
          <cell r="I292" t="str">
            <v>BIM A.S. (T501 ŞAHİN ÜNYE)</v>
          </cell>
          <cell r="J292" t="str">
            <v>Aktif</v>
          </cell>
          <cell r="K292" t="str">
            <v>ÇINARLIK MAH ŞAHİN HOCA SK. NO:10/1 ÜNYE ORDU</v>
          </cell>
          <cell r="L292" t="str">
            <v>ÜNYE</v>
          </cell>
          <cell r="M292" t="str">
            <v>ORDU</v>
          </cell>
        </row>
        <row r="293">
          <cell r="G293" t="str">
            <v>910614</v>
          </cell>
          <cell r="H293" t="str">
            <v>Bim</v>
          </cell>
          <cell r="I293" t="str">
            <v>BIM A.S. (T721 AKDAĞ LADİK SAMSUN)</v>
          </cell>
          <cell r="J293" t="str">
            <v>Aktif</v>
          </cell>
          <cell r="K293" t="str">
            <v>BAHŞİ MAH NALCIOĞLU CAD. NO:1/A LÂDIK SAMSUN</v>
          </cell>
          <cell r="L293" t="str">
            <v>LÂDIK</v>
          </cell>
          <cell r="M293" t="str">
            <v>SAMSUN</v>
          </cell>
        </row>
        <row r="294">
          <cell r="G294" t="str">
            <v>912286</v>
          </cell>
          <cell r="H294" t="str">
            <v>Bim</v>
          </cell>
          <cell r="I294" t="str">
            <v>BIM A.S. (T792 ZEYTİNLİK İLKADIM SAMSUN)</v>
          </cell>
          <cell r="J294" t="str">
            <v>Aktif</v>
          </cell>
          <cell r="K294" t="str">
            <v>ZEYTİNLİK MAH HIZIRBEY CAD. NO:81 ILKADIM SAMSUN</v>
          </cell>
          <cell r="L294" t="str">
            <v>ILKADIM</v>
          </cell>
          <cell r="M294" t="str">
            <v>SAMSUN</v>
          </cell>
        </row>
        <row r="295">
          <cell r="G295" t="str">
            <v>912291</v>
          </cell>
          <cell r="H295" t="str">
            <v>Bim</v>
          </cell>
          <cell r="I295" t="str">
            <v>BIM A.S. (T791 GÜZELDERE İLKADIM SAMSUN)</v>
          </cell>
          <cell r="J295" t="str">
            <v>Aktif</v>
          </cell>
          <cell r="K295" t="str">
            <v>DEREBAHÇE MAH ŞEHİT MUSTAFA ZIVALI BULV. NO:69 ILKADIM SAMSUN</v>
          </cell>
          <cell r="L295" t="str">
            <v>ILKADIM</v>
          </cell>
          <cell r="M295" t="str">
            <v>SAMSUN</v>
          </cell>
        </row>
        <row r="296">
          <cell r="G296" t="str">
            <v>830550</v>
          </cell>
          <cell r="H296" t="str">
            <v>Bim</v>
          </cell>
          <cell r="I296" t="str">
            <v>BIM A.S. (Q821 KÖŞK)</v>
          </cell>
          <cell r="J296" t="str">
            <v>Aktif</v>
          </cell>
          <cell r="K296" t="str">
            <v>MEVLANA MAH TEPE SOK. NO:48/A BAFRA SAMSUN</v>
          </cell>
          <cell r="L296" t="str">
            <v>BAFRA</v>
          </cell>
          <cell r="M296" t="str">
            <v>SAMSUN</v>
          </cell>
        </row>
        <row r="297">
          <cell r="G297" t="str">
            <v>912938</v>
          </cell>
          <cell r="H297" t="str">
            <v>Bim</v>
          </cell>
          <cell r="I297" t="str">
            <v>BIM A.S. (T836 MELİKŞAH CANİK SAMSUN)</v>
          </cell>
          <cell r="J297" t="str">
            <v>Aktif</v>
          </cell>
          <cell r="K297" t="str">
            <v>BELEDİYE EVLERİ MAH MEKİKŞAH SOK. NO:42/2 CANIK SAMSUN</v>
          </cell>
          <cell r="L297" t="str">
            <v>CANIK</v>
          </cell>
          <cell r="M297" t="str">
            <v>SAMSUN</v>
          </cell>
        </row>
        <row r="298">
          <cell r="G298" t="str">
            <v>912942</v>
          </cell>
          <cell r="H298" t="str">
            <v>Bim</v>
          </cell>
          <cell r="I298" t="str">
            <v>BIM A.S. (T835 ERENLER ÜNYE ORDU)</v>
          </cell>
          <cell r="J298" t="str">
            <v>Aktif</v>
          </cell>
          <cell r="K298" t="str">
            <v>SARAÇLI MAH GÜNEŞ SOK. NO:6/A ÜNYE ORDU</v>
          </cell>
          <cell r="L298" t="str">
            <v>ÜNYE</v>
          </cell>
          <cell r="M298" t="str">
            <v>ORDU</v>
          </cell>
        </row>
        <row r="299">
          <cell r="G299" t="str">
            <v>915923</v>
          </cell>
          <cell r="H299" t="str">
            <v>Bim</v>
          </cell>
          <cell r="I299" t="str">
            <v>BIM A.S. (T979 OSMANGAZİ HAVZA SAMSUN)</v>
          </cell>
          <cell r="J299" t="str">
            <v>Aktif</v>
          </cell>
          <cell r="K299" t="str">
            <v>SONDAJ MAH ŞHT. JAN. YARBAY MESUT KURU CAD. NO:6A HAVZA SAMSUN</v>
          </cell>
          <cell r="L299" t="str">
            <v>HAVZA</v>
          </cell>
          <cell r="M299" t="str">
            <v>SAMSUN</v>
          </cell>
        </row>
        <row r="300">
          <cell r="G300" t="str">
            <v>916042</v>
          </cell>
          <cell r="H300" t="str">
            <v>Bim</v>
          </cell>
          <cell r="I300" t="str">
            <v>BIM A.S. (U048 YAŞARDOĞU KAVAK SAMSUN)</v>
          </cell>
          <cell r="J300" t="str">
            <v>Aktif</v>
          </cell>
          <cell r="K300" t="str">
            <v>YAŞAR DOĞU MAH ADNAN MENDERES CAD. NO:112/1 KAVAK SAMSUN</v>
          </cell>
          <cell r="L300" t="str">
            <v>KAVAK</v>
          </cell>
          <cell r="M300" t="str">
            <v>SAMSUN</v>
          </cell>
        </row>
        <row r="301">
          <cell r="G301" t="str">
            <v>329209</v>
          </cell>
          <cell r="H301" t="str">
            <v>Bim</v>
          </cell>
          <cell r="I301" t="str">
            <v>BIM A.S. (Q303 BAKIRPINAR / BAFRA)</v>
          </cell>
          <cell r="J301" t="str">
            <v>Aktif</v>
          </cell>
          <cell r="K301" t="str">
            <v>MEVLANA MAH. YUKARI BAKIRPINAR SOK. NO:43 A / B BAFRA SAMSUN</v>
          </cell>
          <cell r="L301" t="str">
            <v>BAFRA</v>
          </cell>
          <cell r="M301" t="str">
            <v>SAMSUN</v>
          </cell>
        </row>
        <row r="302">
          <cell r="G302" t="str">
            <v>917065</v>
          </cell>
          <cell r="H302" t="str">
            <v>Bim</v>
          </cell>
          <cell r="I302" t="str">
            <v>BIM A.S. (U543 KESTEL İLKADIM SAMSUN)</v>
          </cell>
          <cell r="J302" t="str">
            <v>Aktif</v>
          </cell>
          <cell r="K302" t="str">
            <v>KIŞLA MAH 939 SOK. NO:13A ILKADIM SAMSUN</v>
          </cell>
          <cell r="L302" t="str">
            <v>ILKADIM</v>
          </cell>
          <cell r="M302" t="str">
            <v>SAMSUN</v>
          </cell>
        </row>
        <row r="303">
          <cell r="G303" t="str">
            <v>917107</v>
          </cell>
          <cell r="H303" t="str">
            <v>Bim</v>
          </cell>
          <cell r="I303" t="str">
            <v>BIM A.S. (U577 ADLİYE İLKADIM SAMSUN)</v>
          </cell>
          <cell r="J303" t="str">
            <v>Aktif</v>
          </cell>
          <cell r="K303" t="str">
            <v>KILIÇDEDE MAH CUMHURİYET CAD. NO:204 ILKADIM SAMSUN</v>
          </cell>
          <cell r="L303" t="str">
            <v>ILKADIM</v>
          </cell>
          <cell r="M303" t="str">
            <v>SAMSUN</v>
          </cell>
        </row>
        <row r="304">
          <cell r="G304" t="str">
            <v>917112</v>
          </cell>
          <cell r="H304" t="str">
            <v>Bim</v>
          </cell>
          <cell r="I304" t="str">
            <v>BIM A.S. (U588 AĞCAGÜNEY ÇARŞAMBA SAMSUN)</v>
          </cell>
          <cell r="J304" t="str">
            <v>Aktif</v>
          </cell>
          <cell r="K304" t="str">
            <v>YUKARI AĞCAGÜNEY MAH ATATÜRK BULV. NO:20A/B/C/D/E ÇARSAMBA SAMSUN</v>
          </cell>
          <cell r="L304" t="str">
            <v>ÇARSAMBA</v>
          </cell>
          <cell r="M304" t="str">
            <v>SAMSUN</v>
          </cell>
        </row>
        <row r="305">
          <cell r="G305" t="str">
            <v>917223</v>
          </cell>
          <cell r="H305" t="str">
            <v>Bim</v>
          </cell>
          <cell r="I305" t="str">
            <v>BIM A.S. (U707 KARADENİZ CADDESİ İLKADIM SAMSUN)</v>
          </cell>
          <cell r="J305" t="str">
            <v>Aktif</v>
          </cell>
          <cell r="K305" t="str">
            <v>ADALET MAH KARADENİZ CAD. NO:97 İÇ KAPI NO:3 ILKADIM SAMSUN</v>
          </cell>
          <cell r="L305" t="str">
            <v>ILKADIM</v>
          </cell>
          <cell r="M305" t="str">
            <v>SAMSUN</v>
          </cell>
        </row>
        <row r="306">
          <cell r="G306" t="str">
            <v>918996</v>
          </cell>
          <cell r="H306" t="str">
            <v>Bim</v>
          </cell>
          <cell r="I306" t="str">
            <v>BIM A.S. (U740 KARŞIYAKA HAVZA SAMSUN)</v>
          </cell>
          <cell r="J306" t="str">
            <v>Aktif</v>
          </cell>
          <cell r="K306" t="str">
            <v>İNÖNÜ MAH P.ER AHMET BOZKURT SOK. NO:18/B-A HAVZA SAMSUN</v>
          </cell>
          <cell r="L306" t="str">
            <v>HAVZA</v>
          </cell>
          <cell r="M306" t="str">
            <v>SAMSUN</v>
          </cell>
        </row>
        <row r="307">
          <cell r="G307" t="str">
            <v>921930</v>
          </cell>
          <cell r="H307" t="str">
            <v>Bim</v>
          </cell>
          <cell r="I307" t="str">
            <v>BIM A.S. (U778 BULUTOĞLU ÇARŞAMBA SAMSUN)</v>
          </cell>
          <cell r="J307" t="str">
            <v>Aktif</v>
          </cell>
          <cell r="K307" t="str">
            <v>ORTA MAH BAYRAK SOK. NO:7/A-B - 9/A-B-C ÇARSAMBA SAMSUN</v>
          </cell>
          <cell r="L307" t="str">
            <v>ÇARSAMBA</v>
          </cell>
          <cell r="M307" t="str">
            <v>SAMSUN</v>
          </cell>
        </row>
        <row r="308">
          <cell r="G308" t="str">
            <v>908012</v>
          </cell>
          <cell r="H308" t="str">
            <v>Bim</v>
          </cell>
          <cell r="I308" t="str">
            <v>BIM A.S. (T589 BARBAROS YAKAKENT)</v>
          </cell>
          <cell r="J308" t="str">
            <v>Aktif</v>
          </cell>
          <cell r="K308" t="str">
            <v>MERKEZ MAH CUMHURİYET SK. NO:65 YAKAKENT SAMSUN</v>
          </cell>
          <cell r="L308" t="str">
            <v>YAKAKENT</v>
          </cell>
          <cell r="M308" t="str">
            <v>SAMSUN</v>
          </cell>
        </row>
        <row r="309">
          <cell r="G309" t="str">
            <v>925350</v>
          </cell>
          <cell r="H309" t="str">
            <v>Bim</v>
          </cell>
          <cell r="I309" t="str">
            <v>BIM A.S. (U799 BAKİ ESEN TEKKEKÖY SAMSUN)</v>
          </cell>
          <cell r="J309" t="str">
            <v>Aktif</v>
          </cell>
          <cell r="K309" t="str">
            <v>CUMHURİYET MAH BAKİ ESEN CAD. NO:18BA TEKKEKÖY SAMSUN</v>
          </cell>
          <cell r="L309" t="str">
            <v>TEKKEKÖY</v>
          </cell>
          <cell r="M309" t="str">
            <v>SAMSUN</v>
          </cell>
        </row>
        <row r="310">
          <cell r="G310" t="str">
            <v>925351</v>
          </cell>
          <cell r="H310" t="str">
            <v>Bim</v>
          </cell>
          <cell r="I310" t="str">
            <v>BIM A.S. (U798 OSB TEKKEKÖY SAMSUN)</v>
          </cell>
          <cell r="J310" t="str">
            <v>Aktif</v>
          </cell>
          <cell r="K310" t="str">
            <v>İSTİKLAL MAH 56 SOK. NO:39 TEKKEKÖY SAMSUN</v>
          </cell>
          <cell r="L310" t="str">
            <v>TEKKEKÖY</v>
          </cell>
          <cell r="M310" t="str">
            <v>SAMSUN</v>
          </cell>
        </row>
        <row r="311">
          <cell r="G311" t="str">
            <v>254446</v>
          </cell>
          <cell r="H311" t="str">
            <v>Bim</v>
          </cell>
          <cell r="I311" t="str">
            <v>BIM A.S. (Q307 YAKAKENT / SAMSUN)</v>
          </cell>
          <cell r="J311" t="str">
            <v>Aktif</v>
          </cell>
          <cell r="K311" t="str">
            <v>MERKEZ MAH PAZAR CAD. NO:2/A YAKAKENT SAMSUN</v>
          </cell>
          <cell r="L311" t="str">
            <v>YAKAKENT</v>
          </cell>
          <cell r="M311" t="str">
            <v>SAMSUN</v>
          </cell>
        </row>
        <row r="312">
          <cell r="G312" t="str">
            <v>928015</v>
          </cell>
          <cell r="H312" t="str">
            <v>Bim</v>
          </cell>
          <cell r="I312" t="str">
            <v>BIM A.S. (U891 SIHHIYE TERME SAMSUN)</v>
          </cell>
          <cell r="J312" t="str">
            <v>Aktif</v>
          </cell>
          <cell r="K312" t="str">
            <v>YENİ MAH KOCAMAN CAD. NO:100A TERME SAMSUN</v>
          </cell>
          <cell r="L312" t="str">
            <v>TERME</v>
          </cell>
          <cell r="M312" t="str">
            <v>SAMSUN</v>
          </cell>
        </row>
        <row r="313">
          <cell r="G313" t="str">
            <v>929249</v>
          </cell>
          <cell r="H313" t="str">
            <v>Bim</v>
          </cell>
          <cell r="I313" t="str">
            <v>BIM A.S. (U915 İCADİYE HAVZA SAMSUN)</v>
          </cell>
          <cell r="J313" t="str">
            <v>Aktif</v>
          </cell>
          <cell r="K313" t="str">
            <v>İCADİYE MAH ŞHT. HASAN AKTAR CAD. NO:61/3 HAVZA SAMSUN</v>
          </cell>
          <cell r="L313" t="str">
            <v>HAVZA</v>
          </cell>
          <cell r="M313" t="str">
            <v>SAMSUN</v>
          </cell>
        </row>
        <row r="314">
          <cell r="G314" t="str">
            <v>930324</v>
          </cell>
          <cell r="H314" t="str">
            <v>Bim</v>
          </cell>
          <cell r="I314" t="str">
            <v>BIM A.S. (U926 HASBAHÇE ÇARŞAMBA SAMSUN)</v>
          </cell>
          <cell r="J314" t="str">
            <v>Aktif</v>
          </cell>
          <cell r="K314" t="str">
            <v>HASBAHÇE MAH 254 SOK. NO:6A ÇARSAMBA SAMSUN</v>
          </cell>
          <cell r="L314" t="str">
            <v>ÇARSAMBA</v>
          </cell>
          <cell r="M314" t="str">
            <v>SAMSUN</v>
          </cell>
        </row>
        <row r="315">
          <cell r="G315" t="str">
            <v>935262</v>
          </cell>
          <cell r="H315" t="str">
            <v>Bim</v>
          </cell>
          <cell r="I315" t="str">
            <v>BIM A.S. (V227 KARABEY İLKADIM)</v>
          </cell>
          <cell r="J315" t="str">
            <v>Aktif</v>
          </cell>
          <cell r="K315" t="str">
            <v>LİMAN MAH EBU SUUD EFENDİ CAD. NO:46A ILKADIM SAMSUN</v>
          </cell>
          <cell r="L315" t="str">
            <v>ILKADIM</v>
          </cell>
          <cell r="M315" t="str">
            <v>SAMSUN</v>
          </cell>
        </row>
        <row r="316">
          <cell r="G316" t="str">
            <v>586335</v>
          </cell>
          <cell r="H316" t="str">
            <v>Bim</v>
          </cell>
          <cell r="I316" t="str">
            <v>BIM A.S. (Q324 PARK / BAFRA)</v>
          </cell>
          <cell r="J316" t="str">
            <v>Aktif</v>
          </cell>
          <cell r="K316" t="str">
            <v>TABAKHANE MAH ŞIHLAR 2. SOK. NO:3 BAFRA SAMSUN</v>
          </cell>
          <cell r="L316" t="str">
            <v>BAFRA</v>
          </cell>
          <cell r="M316" t="str">
            <v>SAMSUN</v>
          </cell>
        </row>
        <row r="317">
          <cell r="G317" t="str">
            <v>940323</v>
          </cell>
          <cell r="H317" t="str">
            <v>Bim</v>
          </cell>
          <cell r="I317" t="str">
            <v>BIM A.S. (V403 BEYPINAR İLKADIM SAMSUN)</v>
          </cell>
          <cell r="J317" t="str">
            <v>Aktif</v>
          </cell>
          <cell r="K317" t="str">
            <v>DERECİK MAH RECEP TAYİP ERDOĞAN BULV. NO:88/BA ILKADIM SAMSUN</v>
          </cell>
          <cell r="L317" t="str">
            <v>ILKADIM</v>
          </cell>
          <cell r="M317" t="str">
            <v>SAMSUN</v>
          </cell>
        </row>
        <row r="318">
          <cell r="G318" t="str">
            <v>766052</v>
          </cell>
          <cell r="H318" t="str">
            <v>Bim</v>
          </cell>
          <cell r="I318" t="str">
            <v>BIM A.S. (Q356 TATAROĞLU / BAFRA)</v>
          </cell>
          <cell r="J318" t="str">
            <v>Aktif</v>
          </cell>
          <cell r="K318" t="str">
            <v>TABAKHANE MAH. EMİREFENDİ BULV. NO:28 A-B BAFRA SAMSUN</v>
          </cell>
          <cell r="L318" t="str">
            <v>BAFRA</v>
          </cell>
          <cell r="M318" t="str">
            <v>SAMSUN</v>
          </cell>
        </row>
        <row r="319">
          <cell r="G319" t="str">
            <v>943185</v>
          </cell>
          <cell r="H319" t="str">
            <v>Bim</v>
          </cell>
          <cell r="I319" t="str">
            <v>BIM A.S. (V523 YUVAKENT VEZİRKÖPRÜ SAMSUN)</v>
          </cell>
          <cell r="J319" t="str">
            <v>Aktif</v>
          </cell>
          <cell r="K319" t="str">
            <v>CUMHURİYET MAH GAZİ CAD. NO:59/1 VEZIRKÖPRÜ SAMSUN</v>
          </cell>
          <cell r="L319" t="str">
            <v>VEZIRKÖPRÜ</v>
          </cell>
          <cell r="M319" t="str">
            <v>SAMSUN</v>
          </cell>
        </row>
        <row r="320">
          <cell r="G320" t="str">
            <v>943996</v>
          </cell>
          <cell r="H320" t="str">
            <v>Bim</v>
          </cell>
          <cell r="I320" t="str">
            <v>BIM A.S. (V591 GÜLPINAR TERME SAMSUN)</v>
          </cell>
          <cell r="J320" t="str">
            <v>Aktif</v>
          </cell>
          <cell r="K320" t="str">
            <v>BAHÇELİEVLER MAH SAMSUN CAD. KARAÇUHA SOK. NO:42 TERME SAMSUN</v>
          </cell>
          <cell r="L320" t="str">
            <v>TERME</v>
          </cell>
          <cell r="M320" t="str">
            <v>SAMSUN</v>
          </cell>
        </row>
        <row r="321">
          <cell r="G321" t="str">
            <v>944622</v>
          </cell>
          <cell r="H321" t="str">
            <v>Bim</v>
          </cell>
          <cell r="I321" t="str">
            <v>BIM A.S. (V623 ALLI ÇARŞAMBA SAMSUN)</v>
          </cell>
          <cell r="J321" t="str">
            <v>Aktif</v>
          </cell>
          <cell r="K321" t="str">
            <v>ALLI MAH ARIM SOK. NO:18A ÇARSAMBA SAMSUN</v>
          </cell>
          <cell r="L321" t="str">
            <v>ÇARSAMBA</v>
          </cell>
          <cell r="M321" t="str">
            <v>SAMSUN</v>
          </cell>
        </row>
      </sheetData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65"/>
  <sheetViews>
    <sheetView tabSelected="1" topLeftCell="A1337" workbookViewId="0">
      <selection activeCell="A2" sqref="A2:P1365"/>
    </sheetView>
  </sheetViews>
  <sheetFormatPr defaultRowHeight="14.4" x14ac:dyDescent="0.3"/>
  <cols>
    <col min="2" max="2" width="60" customWidth="1"/>
    <col min="4" max="5" width="10.44140625" style="5" bestFit="1" customWidth="1"/>
    <col min="6" max="6" width="13.44140625" bestFit="1" customWidth="1"/>
    <col min="15" max="15" width="8.88671875" style="10"/>
  </cols>
  <sheetData>
    <row r="1" spans="1:16" x14ac:dyDescent="0.3">
      <c r="A1" s="1" t="s">
        <v>0</v>
      </c>
      <c r="B1" s="1" t="s">
        <v>1</v>
      </c>
      <c r="C1" s="1" t="s">
        <v>2</v>
      </c>
      <c r="D1" s="4" t="s">
        <v>3</v>
      </c>
      <c r="E1" s="4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8" t="s">
        <v>14</v>
      </c>
      <c r="P1" s="1" t="s">
        <v>15</v>
      </c>
    </row>
    <row r="2" spans="1:16" x14ac:dyDescent="0.3">
      <c r="A2" s="2" t="s">
        <v>16</v>
      </c>
      <c r="B2" s="2" t="s">
        <v>17</v>
      </c>
      <c r="C2" s="2" t="s">
        <v>18</v>
      </c>
      <c r="D2" s="5">
        <v>41.331667207300001</v>
      </c>
      <c r="E2" s="5">
        <v>36.270318186099999</v>
      </c>
      <c r="F2" s="3"/>
      <c r="G2" s="2" t="s">
        <v>19</v>
      </c>
      <c r="H2" s="2" t="s">
        <v>20</v>
      </c>
      <c r="I2" s="2" t="s">
        <v>19</v>
      </c>
      <c r="J2" s="2" t="s">
        <v>21</v>
      </c>
      <c r="K2" s="2" t="s">
        <v>22</v>
      </c>
      <c r="L2" s="2" t="s">
        <v>23</v>
      </c>
      <c r="M2" s="3">
        <v>2</v>
      </c>
      <c r="N2" s="3">
        <v>1</v>
      </c>
      <c r="O2" s="9" t="s">
        <v>24</v>
      </c>
      <c r="P2" s="3">
        <v>0</v>
      </c>
    </row>
    <row r="3" spans="1:16" x14ac:dyDescent="0.3">
      <c r="A3" s="2" t="s">
        <v>25</v>
      </c>
      <c r="B3" s="2" t="s">
        <v>26</v>
      </c>
      <c r="C3" s="2" t="s">
        <v>18</v>
      </c>
      <c r="D3" s="5">
        <v>41.285501400000001</v>
      </c>
      <c r="E3" s="5">
        <v>36.3239315</v>
      </c>
      <c r="F3" s="2" t="s">
        <v>27</v>
      </c>
      <c r="G3" s="2" t="s">
        <v>28</v>
      </c>
      <c r="H3" s="2" t="s">
        <v>29</v>
      </c>
      <c r="I3" s="2" t="s">
        <v>30</v>
      </c>
      <c r="J3" s="2" t="s">
        <v>31</v>
      </c>
      <c r="K3" s="2" t="s">
        <v>22</v>
      </c>
      <c r="L3" s="2" t="s">
        <v>32</v>
      </c>
      <c r="M3" s="3">
        <v>1</v>
      </c>
      <c r="N3" s="3">
        <v>1</v>
      </c>
      <c r="O3" s="9" t="s">
        <v>24</v>
      </c>
      <c r="P3" s="3">
        <v>8.5500000000000007</v>
      </c>
    </row>
    <row r="4" spans="1:16" x14ac:dyDescent="0.3">
      <c r="A4" s="2" t="s">
        <v>33</v>
      </c>
      <c r="B4" s="2" t="s">
        <v>34</v>
      </c>
      <c r="C4" s="2" t="s">
        <v>18</v>
      </c>
      <c r="D4" s="5">
        <v>41.213145500000003</v>
      </c>
      <c r="E4" s="5">
        <v>36.460638400000001</v>
      </c>
      <c r="F4" s="2" t="s">
        <v>35</v>
      </c>
      <c r="G4" s="2" t="s">
        <v>28</v>
      </c>
      <c r="H4" s="2" t="s">
        <v>36</v>
      </c>
      <c r="I4" s="2" t="s">
        <v>37</v>
      </c>
      <c r="J4" s="2" t="s">
        <v>38</v>
      </c>
      <c r="K4" s="2" t="s">
        <v>22</v>
      </c>
      <c r="L4" s="2" t="s">
        <v>39</v>
      </c>
      <c r="M4" s="3">
        <v>1</v>
      </c>
      <c r="N4" s="3">
        <v>1</v>
      </c>
      <c r="O4" s="9" t="s">
        <v>24</v>
      </c>
      <c r="P4" s="3">
        <v>1076.8399999999999</v>
      </c>
    </row>
    <row r="5" spans="1:16" x14ac:dyDescent="0.3">
      <c r="A5" s="2" t="s">
        <v>40</v>
      </c>
      <c r="B5" s="2" t="s">
        <v>41</v>
      </c>
      <c r="C5" s="2" t="s">
        <v>18</v>
      </c>
      <c r="D5" s="5">
        <v>41.346440200000004</v>
      </c>
      <c r="E5" s="5">
        <v>36.629220199999999</v>
      </c>
      <c r="F5" s="2" t="s">
        <v>42</v>
      </c>
      <c r="G5" s="2" t="s">
        <v>28</v>
      </c>
      <c r="H5" s="2" t="s">
        <v>36</v>
      </c>
      <c r="I5" s="2" t="s">
        <v>37</v>
      </c>
      <c r="J5" s="2" t="s">
        <v>43</v>
      </c>
      <c r="K5" s="2" t="s">
        <v>22</v>
      </c>
      <c r="L5" s="2" t="s">
        <v>44</v>
      </c>
      <c r="M5" s="3">
        <v>0</v>
      </c>
      <c r="N5" s="3">
        <v>0</v>
      </c>
      <c r="O5" s="9" t="s">
        <v>24</v>
      </c>
      <c r="P5" s="3">
        <v>0</v>
      </c>
    </row>
    <row r="6" spans="1:16" x14ac:dyDescent="0.3">
      <c r="A6" s="2" t="s">
        <v>45</v>
      </c>
      <c r="B6" s="2" t="s">
        <v>46</v>
      </c>
      <c r="C6" s="2" t="s">
        <v>18</v>
      </c>
      <c r="D6" s="5">
        <v>41.286060399999997</v>
      </c>
      <c r="E6" s="5">
        <v>36.309779800000001</v>
      </c>
      <c r="F6" s="2" t="s">
        <v>47</v>
      </c>
      <c r="G6" s="2" t="s">
        <v>28</v>
      </c>
      <c r="H6" s="2" t="s">
        <v>36</v>
      </c>
      <c r="I6" s="2" t="s">
        <v>37</v>
      </c>
      <c r="J6" s="2" t="s">
        <v>48</v>
      </c>
      <c r="K6" s="2" t="s">
        <v>22</v>
      </c>
      <c r="L6" s="2" t="s">
        <v>32</v>
      </c>
      <c r="M6" s="3">
        <v>1</v>
      </c>
      <c r="N6" s="3">
        <v>1</v>
      </c>
      <c r="O6" s="9" t="s">
        <v>24</v>
      </c>
      <c r="P6" s="3">
        <v>5630.11</v>
      </c>
    </row>
    <row r="7" spans="1:16" x14ac:dyDescent="0.3">
      <c r="A7" s="2" t="s">
        <v>49</v>
      </c>
      <c r="B7" s="2" t="s">
        <v>50</v>
      </c>
      <c r="C7" s="2" t="s">
        <v>18</v>
      </c>
      <c r="D7" s="5">
        <v>41.546783699999999</v>
      </c>
      <c r="E7" s="5">
        <v>35.762413000000002</v>
      </c>
      <c r="F7" s="2" t="s">
        <v>51</v>
      </c>
      <c r="G7" s="2" t="s">
        <v>28</v>
      </c>
      <c r="H7" s="2" t="s">
        <v>29</v>
      </c>
      <c r="I7" s="2" t="s">
        <v>30</v>
      </c>
      <c r="J7" s="2" t="s">
        <v>52</v>
      </c>
      <c r="K7" s="2" t="s">
        <v>22</v>
      </c>
      <c r="L7" s="2" t="s">
        <v>53</v>
      </c>
      <c r="M7" s="3">
        <v>2</v>
      </c>
      <c r="N7" s="3">
        <v>1</v>
      </c>
      <c r="O7" s="9" t="s">
        <v>54</v>
      </c>
      <c r="P7" s="3">
        <v>0</v>
      </c>
    </row>
    <row r="8" spans="1:16" x14ac:dyDescent="0.3">
      <c r="A8" s="2" t="s">
        <v>55</v>
      </c>
      <c r="B8" s="2" t="s">
        <v>56</v>
      </c>
      <c r="C8" s="2" t="s">
        <v>18</v>
      </c>
      <c r="D8" s="5">
        <v>41.293776899999997</v>
      </c>
      <c r="E8" s="5">
        <v>36.323686299999999</v>
      </c>
      <c r="F8" s="2" t="s">
        <v>57</v>
      </c>
      <c r="G8" s="2" t="s">
        <v>28</v>
      </c>
      <c r="H8" s="2" t="s">
        <v>36</v>
      </c>
      <c r="I8" s="2" t="s">
        <v>37</v>
      </c>
      <c r="J8" s="2" t="s">
        <v>58</v>
      </c>
      <c r="K8" s="2" t="s">
        <v>22</v>
      </c>
      <c r="L8" s="2" t="s">
        <v>32</v>
      </c>
      <c r="M8" s="3">
        <v>0</v>
      </c>
      <c r="N8" s="3">
        <v>1</v>
      </c>
      <c r="O8" s="9" t="s">
        <v>24</v>
      </c>
      <c r="P8" s="3">
        <v>-998.78</v>
      </c>
    </row>
    <row r="9" spans="1:16" x14ac:dyDescent="0.3">
      <c r="A9" s="2" t="s">
        <v>59</v>
      </c>
      <c r="B9" s="2" t="s">
        <v>60</v>
      </c>
      <c r="C9" s="2" t="s">
        <v>18</v>
      </c>
      <c r="D9" s="5">
        <v>40.794116000000002</v>
      </c>
      <c r="E9" s="5">
        <v>37.017969000000001</v>
      </c>
      <c r="F9" s="2" t="s">
        <v>61</v>
      </c>
      <c r="G9" s="2" t="s">
        <v>28</v>
      </c>
      <c r="H9" s="2" t="s">
        <v>36</v>
      </c>
      <c r="I9" s="2" t="s">
        <v>37</v>
      </c>
      <c r="J9" s="2" t="s">
        <v>62</v>
      </c>
      <c r="K9" s="2" t="s">
        <v>63</v>
      </c>
      <c r="L9" s="2" t="s">
        <v>64</v>
      </c>
      <c r="M9" s="3">
        <v>0</v>
      </c>
      <c r="N9" s="3">
        <v>0</v>
      </c>
      <c r="O9" s="9" t="s">
        <v>24</v>
      </c>
      <c r="P9" s="3">
        <v>0</v>
      </c>
    </row>
    <row r="10" spans="1:16" x14ac:dyDescent="0.3">
      <c r="A10" s="2" t="s">
        <v>65</v>
      </c>
      <c r="B10" s="2" t="s">
        <v>66</v>
      </c>
      <c r="C10" s="2" t="s">
        <v>18</v>
      </c>
      <c r="D10" s="5">
        <v>41.213028299999998</v>
      </c>
      <c r="E10" s="5">
        <v>36.460884</v>
      </c>
      <c r="F10" s="2" t="s">
        <v>67</v>
      </c>
      <c r="G10" s="2" t="s">
        <v>28</v>
      </c>
      <c r="H10" s="2" t="s">
        <v>36</v>
      </c>
      <c r="I10" s="2" t="s">
        <v>37</v>
      </c>
      <c r="J10" s="2" t="s">
        <v>68</v>
      </c>
      <c r="K10" s="2" t="s">
        <v>22</v>
      </c>
      <c r="L10" s="2" t="s">
        <v>39</v>
      </c>
      <c r="M10" s="3">
        <v>1</v>
      </c>
      <c r="N10" s="3">
        <v>1</v>
      </c>
      <c r="O10" s="9" t="s">
        <v>24</v>
      </c>
      <c r="P10" s="3">
        <v>-1873.43</v>
      </c>
    </row>
    <row r="11" spans="1:16" x14ac:dyDescent="0.3">
      <c r="A11" s="2" t="s">
        <v>69</v>
      </c>
      <c r="B11" s="2" t="s">
        <v>70</v>
      </c>
      <c r="C11" s="2" t="s">
        <v>18</v>
      </c>
      <c r="D11" s="5">
        <v>41.569990900000001</v>
      </c>
      <c r="E11" s="5">
        <v>35.899291499999997</v>
      </c>
      <c r="F11" s="2" t="s">
        <v>71</v>
      </c>
      <c r="G11" s="2" t="s">
        <v>28</v>
      </c>
      <c r="H11" s="2" t="s">
        <v>36</v>
      </c>
      <c r="I11" s="2" t="s">
        <v>37</v>
      </c>
      <c r="J11" s="2" t="s">
        <v>72</v>
      </c>
      <c r="K11" s="2" t="s">
        <v>22</v>
      </c>
      <c r="L11" s="2" t="s">
        <v>53</v>
      </c>
      <c r="M11" s="3">
        <v>1</v>
      </c>
      <c r="N11" s="3">
        <v>1</v>
      </c>
      <c r="O11" s="9" t="s">
        <v>24</v>
      </c>
      <c r="P11" s="3">
        <v>-0.15</v>
      </c>
    </row>
    <row r="12" spans="1:16" x14ac:dyDescent="0.3">
      <c r="A12" s="2" t="s">
        <v>73</v>
      </c>
      <c r="B12" s="2" t="s">
        <v>74</v>
      </c>
      <c r="C12" s="2" t="s">
        <v>18</v>
      </c>
      <c r="D12" s="5">
        <v>40.909219</v>
      </c>
      <c r="E12" s="5">
        <v>35.895226800000003</v>
      </c>
      <c r="F12" s="3"/>
      <c r="G12" s="2" t="s">
        <v>28</v>
      </c>
      <c r="H12" s="2" t="s">
        <v>36</v>
      </c>
      <c r="I12" s="2" t="s">
        <v>37</v>
      </c>
      <c r="J12" s="2" t="s">
        <v>75</v>
      </c>
      <c r="K12" s="2" t="s">
        <v>22</v>
      </c>
      <c r="L12" s="2" t="s">
        <v>76</v>
      </c>
      <c r="M12" s="3">
        <v>0</v>
      </c>
      <c r="N12" s="3">
        <v>0</v>
      </c>
      <c r="O12" s="9" t="s">
        <v>24</v>
      </c>
      <c r="P12" s="3">
        <v>0</v>
      </c>
    </row>
    <row r="13" spans="1:16" x14ac:dyDescent="0.3">
      <c r="A13" s="2" t="s">
        <v>77</v>
      </c>
      <c r="B13" s="2" t="s">
        <v>78</v>
      </c>
      <c r="C13" s="2" t="s">
        <v>18</v>
      </c>
      <c r="D13" s="5">
        <v>41.559170000000002</v>
      </c>
      <c r="E13" s="5">
        <v>35.905851699999999</v>
      </c>
      <c r="F13" s="2" t="s">
        <v>79</v>
      </c>
      <c r="G13" s="2" t="s">
        <v>28</v>
      </c>
      <c r="H13" s="2" t="s">
        <v>36</v>
      </c>
      <c r="I13" s="2" t="s">
        <v>37</v>
      </c>
      <c r="J13" s="2" t="s">
        <v>80</v>
      </c>
      <c r="K13" s="2" t="s">
        <v>22</v>
      </c>
      <c r="L13" s="2" t="s">
        <v>53</v>
      </c>
      <c r="M13" s="3">
        <v>0</v>
      </c>
      <c r="N13" s="3">
        <v>0</v>
      </c>
      <c r="O13" s="9" t="s">
        <v>54</v>
      </c>
      <c r="P13" s="3">
        <v>0</v>
      </c>
    </row>
    <row r="14" spans="1:16" x14ac:dyDescent="0.3">
      <c r="A14" s="2" t="s">
        <v>81</v>
      </c>
      <c r="B14" s="2" t="s">
        <v>82</v>
      </c>
      <c r="C14" s="2" t="s">
        <v>18</v>
      </c>
      <c r="D14" s="5">
        <v>41.228841600000003</v>
      </c>
      <c r="E14" s="5">
        <v>36.478688699999999</v>
      </c>
      <c r="F14" s="2" t="s">
        <v>83</v>
      </c>
      <c r="G14" s="2" t="s">
        <v>28</v>
      </c>
      <c r="H14" s="2" t="s">
        <v>29</v>
      </c>
      <c r="I14" s="2" t="s">
        <v>30</v>
      </c>
      <c r="J14" s="2" t="s">
        <v>84</v>
      </c>
      <c r="K14" s="2" t="s">
        <v>22</v>
      </c>
      <c r="L14" s="2" t="s">
        <v>39</v>
      </c>
      <c r="M14" s="3">
        <v>1</v>
      </c>
      <c r="N14" s="3">
        <v>1</v>
      </c>
      <c r="O14" s="9" t="s">
        <v>24</v>
      </c>
      <c r="P14" s="3">
        <v>0</v>
      </c>
    </row>
    <row r="15" spans="1:16" x14ac:dyDescent="0.3">
      <c r="A15" s="2" t="s">
        <v>85</v>
      </c>
      <c r="B15" s="2" t="s">
        <v>86</v>
      </c>
      <c r="C15" s="2" t="s">
        <v>18</v>
      </c>
      <c r="D15" s="5">
        <v>41.044440000000002</v>
      </c>
      <c r="E15" s="5">
        <v>37.201994999999997</v>
      </c>
      <c r="F15" s="2" t="s">
        <v>87</v>
      </c>
      <c r="G15" s="2" t="s">
        <v>28</v>
      </c>
      <c r="H15" s="2" t="s">
        <v>36</v>
      </c>
      <c r="I15" s="2" t="s">
        <v>37</v>
      </c>
      <c r="J15" s="2" t="s">
        <v>88</v>
      </c>
      <c r="K15" s="2" t="s">
        <v>63</v>
      </c>
      <c r="L15" s="2" t="s">
        <v>89</v>
      </c>
      <c r="M15" s="3">
        <v>2</v>
      </c>
      <c r="N15" s="3">
        <v>1</v>
      </c>
      <c r="O15" s="9" t="s">
        <v>24</v>
      </c>
      <c r="P15" s="3">
        <v>0</v>
      </c>
    </row>
    <row r="16" spans="1:16" x14ac:dyDescent="0.3">
      <c r="A16" s="2" t="s">
        <v>90</v>
      </c>
      <c r="B16" s="2" t="s">
        <v>91</v>
      </c>
      <c r="C16" s="2" t="s">
        <v>18</v>
      </c>
      <c r="D16" s="5">
        <v>41.053016300000003</v>
      </c>
      <c r="E16" s="5">
        <v>37.0775948</v>
      </c>
      <c r="F16" s="2" t="s">
        <v>92</v>
      </c>
      <c r="G16" s="2" t="s">
        <v>28</v>
      </c>
      <c r="H16" s="2" t="s">
        <v>36</v>
      </c>
      <c r="I16" s="2" t="s">
        <v>37</v>
      </c>
      <c r="J16" s="2" t="s">
        <v>93</v>
      </c>
      <c r="K16" s="2" t="s">
        <v>63</v>
      </c>
      <c r="L16" s="2" t="s">
        <v>94</v>
      </c>
      <c r="M16" s="3">
        <v>2</v>
      </c>
      <c r="N16" s="3">
        <v>1</v>
      </c>
      <c r="O16" s="9" t="s">
        <v>24</v>
      </c>
      <c r="P16" s="3">
        <v>0</v>
      </c>
    </row>
    <row r="17" spans="1:16" x14ac:dyDescent="0.3">
      <c r="A17" s="2" t="s">
        <v>95</v>
      </c>
      <c r="B17" s="2" t="s">
        <v>96</v>
      </c>
      <c r="C17" s="2" t="s">
        <v>18</v>
      </c>
      <c r="D17" s="5">
        <v>41.267364100000002</v>
      </c>
      <c r="E17" s="5">
        <v>36.3566419</v>
      </c>
      <c r="F17" s="2" t="s">
        <v>97</v>
      </c>
      <c r="G17" s="2" t="s">
        <v>28</v>
      </c>
      <c r="H17" s="2" t="s">
        <v>29</v>
      </c>
      <c r="I17" s="2" t="s">
        <v>30</v>
      </c>
      <c r="J17" s="2" t="s">
        <v>98</v>
      </c>
      <c r="K17" s="2" t="s">
        <v>22</v>
      </c>
      <c r="L17" s="2" t="s">
        <v>99</v>
      </c>
      <c r="M17" s="3">
        <v>1</v>
      </c>
      <c r="N17" s="3">
        <v>1</v>
      </c>
      <c r="O17" s="9" t="s">
        <v>24</v>
      </c>
      <c r="P17" s="3">
        <v>0</v>
      </c>
    </row>
    <row r="18" spans="1:16" x14ac:dyDescent="0.3">
      <c r="A18" s="2" t="s">
        <v>100</v>
      </c>
      <c r="B18" s="2" t="s">
        <v>101</v>
      </c>
      <c r="C18" s="2" t="s">
        <v>18</v>
      </c>
      <c r="D18" s="5">
        <v>41.327117299999998</v>
      </c>
      <c r="E18" s="5">
        <v>36.237163799999998</v>
      </c>
      <c r="F18" s="2" t="s">
        <v>102</v>
      </c>
      <c r="G18" s="2" t="s">
        <v>28</v>
      </c>
      <c r="H18" s="2" t="s">
        <v>36</v>
      </c>
      <c r="I18" s="2" t="s">
        <v>37</v>
      </c>
      <c r="J18" s="2" t="s">
        <v>103</v>
      </c>
      <c r="K18" s="2" t="s">
        <v>22</v>
      </c>
      <c r="L18" s="2" t="s">
        <v>23</v>
      </c>
      <c r="M18" s="3">
        <v>2</v>
      </c>
      <c r="N18" s="3">
        <v>1</v>
      </c>
      <c r="O18" s="9" t="s">
        <v>24</v>
      </c>
      <c r="P18" s="3">
        <v>0</v>
      </c>
    </row>
    <row r="19" spans="1:16" x14ac:dyDescent="0.3">
      <c r="A19" s="2" t="s">
        <v>104</v>
      </c>
      <c r="B19" s="2" t="s">
        <v>105</v>
      </c>
      <c r="C19" s="2" t="s">
        <v>18</v>
      </c>
      <c r="D19" s="5">
        <v>41.194830000000003</v>
      </c>
      <c r="E19" s="5">
        <v>36.726880000000001</v>
      </c>
      <c r="F19" s="2" t="s">
        <v>106</v>
      </c>
      <c r="G19" s="2" t="s">
        <v>28</v>
      </c>
      <c r="H19" s="2" t="s">
        <v>36</v>
      </c>
      <c r="I19" s="2" t="s">
        <v>37</v>
      </c>
      <c r="J19" s="2" t="s">
        <v>107</v>
      </c>
      <c r="K19" s="2" t="s">
        <v>22</v>
      </c>
      <c r="L19" s="2" t="s">
        <v>44</v>
      </c>
      <c r="M19" s="3">
        <v>1</v>
      </c>
      <c r="N19" s="3">
        <v>1</v>
      </c>
      <c r="O19" s="9" t="s">
        <v>24</v>
      </c>
      <c r="P19" s="3">
        <v>-10573.94</v>
      </c>
    </row>
    <row r="20" spans="1:16" x14ac:dyDescent="0.3">
      <c r="A20" s="2" t="s">
        <v>108</v>
      </c>
      <c r="B20" s="2" t="s">
        <v>109</v>
      </c>
      <c r="C20" s="2" t="s">
        <v>18</v>
      </c>
      <c r="D20" s="5">
        <v>41.3410796</v>
      </c>
      <c r="E20" s="5">
        <v>36.244233700000002</v>
      </c>
      <c r="F20" s="3"/>
      <c r="G20" s="2" t="s">
        <v>20</v>
      </c>
      <c r="H20" s="2" t="s">
        <v>20</v>
      </c>
      <c r="I20" s="2" t="s">
        <v>110</v>
      </c>
      <c r="J20" s="2" t="s">
        <v>111</v>
      </c>
      <c r="K20" s="2" t="s">
        <v>22</v>
      </c>
      <c r="L20" s="2" t="s">
        <v>112</v>
      </c>
      <c r="M20" s="3">
        <v>0</v>
      </c>
      <c r="N20" s="3">
        <v>1</v>
      </c>
      <c r="O20" s="9" t="s">
        <v>54</v>
      </c>
      <c r="P20" s="3">
        <v>0</v>
      </c>
    </row>
    <row r="21" spans="1:16" x14ac:dyDescent="0.3">
      <c r="A21" s="2" t="s">
        <v>113</v>
      </c>
      <c r="B21" s="2" t="s">
        <v>114</v>
      </c>
      <c r="C21" s="2" t="s">
        <v>18</v>
      </c>
      <c r="D21" s="5">
        <v>41.353344300000003</v>
      </c>
      <c r="E21" s="5">
        <v>36.202325799999997</v>
      </c>
      <c r="F21" s="3"/>
      <c r="G21" s="2" t="s">
        <v>20</v>
      </c>
      <c r="H21" s="2" t="s">
        <v>20</v>
      </c>
      <c r="I21" s="2" t="s">
        <v>110</v>
      </c>
      <c r="J21" s="2" t="s">
        <v>115</v>
      </c>
      <c r="K21" s="2" t="s">
        <v>22</v>
      </c>
      <c r="L21" s="2" t="s">
        <v>112</v>
      </c>
      <c r="M21" s="3">
        <v>0</v>
      </c>
      <c r="N21" s="3">
        <v>0</v>
      </c>
      <c r="O21" s="9" t="s">
        <v>54</v>
      </c>
      <c r="P21" s="3">
        <v>0</v>
      </c>
    </row>
    <row r="22" spans="1:16" x14ac:dyDescent="0.3">
      <c r="A22" s="2" t="s">
        <v>116</v>
      </c>
      <c r="B22" s="2" t="s">
        <v>117</v>
      </c>
      <c r="C22" s="2" t="s">
        <v>18</v>
      </c>
      <c r="D22" s="5">
        <v>41.551955499999998</v>
      </c>
      <c r="E22" s="5">
        <v>35.922609199999997</v>
      </c>
      <c r="F22" s="2" t="s">
        <v>118</v>
      </c>
      <c r="G22" s="2" t="s">
        <v>28</v>
      </c>
      <c r="H22" s="2" t="s">
        <v>36</v>
      </c>
      <c r="I22" s="2" t="s">
        <v>37</v>
      </c>
      <c r="J22" s="2" t="s">
        <v>119</v>
      </c>
      <c r="K22" s="2" t="s">
        <v>22</v>
      </c>
      <c r="L22" s="2" t="s">
        <v>53</v>
      </c>
      <c r="M22" s="3">
        <v>1</v>
      </c>
      <c r="N22" s="3">
        <v>1</v>
      </c>
      <c r="O22" s="9" t="s">
        <v>24</v>
      </c>
      <c r="P22" s="3">
        <v>-0.56999999999999995</v>
      </c>
    </row>
    <row r="23" spans="1:16" x14ac:dyDescent="0.3">
      <c r="A23" s="2" t="s">
        <v>120</v>
      </c>
      <c r="B23" s="2" t="s">
        <v>121</v>
      </c>
      <c r="C23" s="2" t="s">
        <v>18</v>
      </c>
      <c r="D23" s="5">
        <v>41.209691900000003</v>
      </c>
      <c r="E23" s="5">
        <v>36.4652593</v>
      </c>
      <c r="F23" s="2" t="s">
        <v>122</v>
      </c>
      <c r="G23" s="2" t="s">
        <v>28</v>
      </c>
      <c r="H23" s="2" t="s">
        <v>36</v>
      </c>
      <c r="I23" s="2" t="s">
        <v>37</v>
      </c>
      <c r="J23" s="2" t="s">
        <v>123</v>
      </c>
      <c r="K23" s="2" t="s">
        <v>22</v>
      </c>
      <c r="L23" s="2" t="s">
        <v>39</v>
      </c>
      <c r="M23" s="3">
        <v>2</v>
      </c>
      <c r="N23" s="3">
        <v>1</v>
      </c>
      <c r="O23" s="9" t="s">
        <v>54</v>
      </c>
      <c r="P23" s="3">
        <v>0</v>
      </c>
    </row>
    <row r="24" spans="1:16" x14ac:dyDescent="0.3">
      <c r="A24" s="2" t="s">
        <v>124</v>
      </c>
      <c r="B24" s="2" t="s">
        <v>125</v>
      </c>
      <c r="C24" s="2" t="s">
        <v>18</v>
      </c>
      <c r="D24" s="5">
        <v>41.271996199999997</v>
      </c>
      <c r="E24" s="5">
        <v>36.340328</v>
      </c>
      <c r="F24" s="2" t="s">
        <v>126</v>
      </c>
      <c r="G24" s="2" t="s">
        <v>28</v>
      </c>
      <c r="H24" s="2" t="s">
        <v>36</v>
      </c>
      <c r="I24" s="2" t="s">
        <v>30</v>
      </c>
      <c r="J24" s="2" t="s">
        <v>127</v>
      </c>
      <c r="K24" s="2" t="s">
        <v>22</v>
      </c>
      <c r="L24" s="2" t="s">
        <v>32</v>
      </c>
      <c r="M24" s="3">
        <v>0</v>
      </c>
      <c r="N24" s="3">
        <v>1</v>
      </c>
      <c r="O24" s="9" t="s">
        <v>24</v>
      </c>
      <c r="P24" s="3">
        <v>-169.79</v>
      </c>
    </row>
    <row r="25" spans="1:16" x14ac:dyDescent="0.3">
      <c r="A25" s="2" t="s">
        <v>128</v>
      </c>
      <c r="B25" s="2" t="s">
        <v>129</v>
      </c>
      <c r="C25" s="2" t="s">
        <v>18</v>
      </c>
      <c r="D25" s="5">
        <v>41.282840200000003</v>
      </c>
      <c r="E25" s="5">
        <v>36.330030600000001</v>
      </c>
      <c r="F25" s="2" t="s">
        <v>130</v>
      </c>
      <c r="G25" s="2" t="s">
        <v>28</v>
      </c>
      <c r="H25" s="2" t="s">
        <v>36</v>
      </c>
      <c r="I25" s="2" t="s">
        <v>37</v>
      </c>
      <c r="J25" s="2" t="s">
        <v>131</v>
      </c>
      <c r="K25" s="2" t="s">
        <v>22</v>
      </c>
      <c r="L25" s="2" t="s">
        <v>32</v>
      </c>
      <c r="M25" s="3">
        <v>2</v>
      </c>
      <c r="N25" s="3">
        <v>1</v>
      </c>
      <c r="O25" s="9" t="s">
        <v>24</v>
      </c>
      <c r="P25" s="3">
        <v>-1.45</v>
      </c>
    </row>
    <row r="26" spans="1:16" x14ac:dyDescent="0.3">
      <c r="A26" s="2" t="s">
        <v>132</v>
      </c>
      <c r="B26" s="2" t="s">
        <v>133</v>
      </c>
      <c r="C26" s="2" t="s">
        <v>18</v>
      </c>
      <c r="D26" s="5">
        <v>41.207588899999998</v>
      </c>
      <c r="E26" s="5">
        <v>36.747031700000001</v>
      </c>
      <c r="F26" s="2" t="s">
        <v>134</v>
      </c>
      <c r="G26" s="2" t="s">
        <v>28</v>
      </c>
      <c r="H26" s="2" t="s">
        <v>135</v>
      </c>
      <c r="I26" s="2" t="s">
        <v>135</v>
      </c>
      <c r="J26" s="2" t="s">
        <v>136</v>
      </c>
      <c r="K26" s="2" t="s">
        <v>22</v>
      </c>
      <c r="L26" s="2" t="s">
        <v>44</v>
      </c>
      <c r="M26" s="3">
        <v>2</v>
      </c>
      <c r="N26" s="3">
        <v>1</v>
      </c>
      <c r="O26" s="9" t="s">
        <v>24</v>
      </c>
      <c r="P26" s="3">
        <v>-4233.67</v>
      </c>
    </row>
    <row r="27" spans="1:16" x14ac:dyDescent="0.3">
      <c r="A27" s="2" t="s">
        <v>137</v>
      </c>
      <c r="B27" s="2" t="s">
        <v>138</v>
      </c>
      <c r="C27" s="2" t="s">
        <v>18</v>
      </c>
      <c r="D27" s="5">
        <v>41.219665999999997</v>
      </c>
      <c r="E27" s="5">
        <v>36.608713100000003</v>
      </c>
      <c r="F27" s="2" t="s">
        <v>139</v>
      </c>
      <c r="G27" s="2" t="s">
        <v>28</v>
      </c>
      <c r="H27" s="2" t="s">
        <v>36</v>
      </c>
      <c r="I27" s="2" t="s">
        <v>37</v>
      </c>
      <c r="J27" s="2" t="s">
        <v>140</v>
      </c>
      <c r="K27" s="2" t="s">
        <v>22</v>
      </c>
      <c r="L27" s="2" t="s">
        <v>44</v>
      </c>
      <c r="M27" s="3">
        <v>0</v>
      </c>
      <c r="N27" s="3">
        <v>0</v>
      </c>
      <c r="O27" s="9" t="s">
        <v>24</v>
      </c>
      <c r="P27" s="3">
        <v>0</v>
      </c>
    </row>
    <row r="28" spans="1:16" x14ac:dyDescent="0.3">
      <c r="A28" s="2" t="s">
        <v>141</v>
      </c>
      <c r="B28" s="2" t="s">
        <v>142</v>
      </c>
      <c r="C28" s="2" t="s">
        <v>18</v>
      </c>
      <c r="D28" s="5">
        <v>40.989057699999996</v>
      </c>
      <c r="E28" s="5">
        <v>36.6307793</v>
      </c>
      <c r="F28" s="2" t="s">
        <v>143</v>
      </c>
      <c r="G28" s="2" t="s">
        <v>28</v>
      </c>
      <c r="H28" s="2" t="s">
        <v>135</v>
      </c>
      <c r="I28" s="2" t="s">
        <v>30</v>
      </c>
      <c r="J28" s="2" t="s">
        <v>144</v>
      </c>
      <c r="K28" s="2" t="s">
        <v>22</v>
      </c>
      <c r="L28" s="2" t="s">
        <v>145</v>
      </c>
      <c r="M28" s="3">
        <v>3</v>
      </c>
      <c r="N28" s="3">
        <v>1</v>
      </c>
      <c r="O28" s="9" t="s">
        <v>24</v>
      </c>
      <c r="P28" s="3">
        <v>-8863.81</v>
      </c>
    </row>
    <row r="29" spans="1:16" x14ac:dyDescent="0.3">
      <c r="A29" s="2" t="s">
        <v>146</v>
      </c>
      <c r="B29" s="2" t="s">
        <v>147</v>
      </c>
      <c r="C29" s="2" t="s">
        <v>18</v>
      </c>
      <c r="D29" s="5">
        <v>41.2506725</v>
      </c>
      <c r="E29" s="5">
        <v>36.643602799999996</v>
      </c>
      <c r="F29" s="2" t="s">
        <v>148</v>
      </c>
      <c r="G29" s="2" t="s">
        <v>28</v>
      </c>
      <c r="H29" s="2" t="s">
        <v>36</v>
      </c>
      <c r="I29" s="2" t="s">
        <v>37</v>
      </c>
      <c r="J29" s="2" t="s">
        <v>149</v>
      </c>
      <c r="K29" s="2" t="s">
        <v>22</v>
      </c>
      <c r="L29" s="2" t="s">
        <v>44</v>
      </c>
      <c r="M29" s="3">
        <v>1</v>
      </c>
      <c r="N29" s="3">
        <v>1</v>
      </c>
      <c r="O29" s="9" t="s">
        <v>24</v>
      </c>
      <c r="P29" s="3">
        <v>-1.64</v>
      </c>
    </row>
    <row r="30" spans="1:16" x14ac:dyDescent="0.3">
      <c r="A30" s="2" t="s">
        <v>150</v>
      </c>
      <c r="B30" s="2" t="s">
        <v>151</v>
      </c>
      <c r="C30" s="2" t="s">
        <v>18</v>
      </c>
      <c r="D30" s="5">
        <v>41.940222900000002</v>
      </c>
      <c r="E30" s="5">
        <v>35.067193799999998</v>
      </c>
      <c r="F30" s="2" t="s">
        <v>152</v>
      </c>
      <c r="G30" s="2" t="s">
        <v>28</v>
      </c>
      <c r="H30" s="2" t="s">
        <v>29</v>
      </c>
      <c r="I30" s="2" t="s">
        <v>30</v>
      </c>
      <c r="J30" s="2" t="s">
        <v>153</v>
      </c>
      <c r="K30" s="2" t="s">
        <v>154</v>
      </c>
      <c r="L30" s="2" t="s">
        <v>155</v>
      </c>
      <c r="M30" s="3">
        <v>3</v>
      </c>
      <c r="N30" s="3">
        <v>1</v>
      </c>
      <c r="O30" s="9" t="s">
        <v>24</v>
      </c>
      <c r="P30" s="3">
        <v>-1231.93</v>
      </c>
    </row>
    <row r="31" spans="1:16" x14ac:dyDescent="0.3">
      <c r="A31" s="2" t="s">
        <v>156</v>
      </c>
      <c r="B31" s="2" t="s">
        <v>157</v>
      </c>
      <c r="C31" s="2" t="s">
        <v>18</v>
      </c>
      <c r="D31" s="5">
        <v>41.424149900000003</v>
      </c>
      <c r="E31" s="5">
        <v>36.093200299999999</v>
      </c>
      <c r="F31" s="2" t="s">
        <v>158</v>
      </c>
      <c r="G31" s="2" t="s">
        <v>28</v>
      </c>
      <c r="H31" s="2" t="s">
        <v>36</v>
      </c>
      <c r="I31" s="2" t="s">
        <v>37</v>
      </c>
      <c r="J31" s="2" t="s">
        <v>159</v>
      </c>
      <c r="K31" s="2" t="s">
        <v>22</v>
      </c>
      <c r="L31" s="2" t="s">
        <v>23</v>
      </c>
      <c r="M31" s="3">
        <v>0</v>
      </c>
      <c r="N31" s="3">
        <v>0</v>
      </c>
      <c r="O31" s="9" t="s">
        <v>54</v>
      </c>
      <c r="P31" s="3">
        <v>-1073.77</v>
      </c>
    </row>
    <row r="32" spans="1:16" x14ac:dyDescent="0.3">
      <c r="A32" s="2" t="s">
        <v>160</v>
      </c>
      <c r="B32" s="2" t="s">
        <v>161</v>
      </c>
      <c r="C32" s="2" t="s">
        <v>18</v>
      </c>
      <c r="D32" s="5">
        <v>41.167789200000001</v>
      </c>
      <c r="E32" s="5">
        <v>35.194355799999997</v>
      </c>
      <c r="F32" s="2" t="s">
        <v>162</v>
      </c>
      <c r="G32" s="2" t="s">
        <v>28</v>
      </c>
      <c r="H32" s="2" t="s">
        <v>29</v>
      </c>
      <c r="I32" s="2" t="s">
        <v>30</v>
      </c>
      <c r="J32" s="2" t="s">
        <v>163</v>
      </c>
      <c r="K32" s="2" t="s">
        <v>22</v>
      </c>
      <c r="L32" s="2" t="s">
        <v>164</v>
      </c>
      <c r="M32" s="3">
        <v>1</v>
      </c>
      <c r="N32" s="3">
        <v>1</v>
      </c>
      <c r="O32" s="9" t="s">
        <v>24</v>
      </c>
      <c r="P32" s="3">
        <v>-10.81</v>
      </c>
    </row>
    <row r="33" spans="1:16" x14ac:dyDescent="0.3">
      <c r="A33" s="2" t="s">
        <v>165</v>
      </c>
      <c r="B33" s="2" t="s">
        <v>166</v>
      </c>
      <c r="C33" s="2" t="s">
        <v>18</v>
      </c>
      <c r="D33" s="5">
        <v>41.118439299999999</v>
      </c>
      <c r="E33" s="5">
        <v>36.562652900000003</v>
      </c>
      <c r="F33" s="2" t="s">
        <v>167</v>
      </c>
      <c r="G33" s="2" t="s">
        <v>28</v>
      </c>
      <c r="H33" s="2" t="s">
        <v>29</v>
      </c>
      <c r="I33" s="2" t="s">
        <v>30</v>
      </c>
      <c r="J33" s="2" t="s">
        <v>168</v>
      </c>
      <c r="K33" s="2" t="s">
        <v>22</v>
      </c>
      <c r="L33" s="2" t="s">
        <v>39</v>
      </c>
      <c r="M33" s="3">
        <v>0</v>
      </c>
      <c r="N33" s="3">
        <v>0</v>
      </c>
      <c r="O33" s="9" t="s">
        <v>24</v>
      </c>
      <c r="P33" s="3">
        <v>0</v>
      </c>
    </row>
    <row r="34" spans="1:16" x14ac:dyDescent="0.3">
      <c r="A34" s="2" t="s">
        <v>169</v>
      </c>
      <c r="B34" s="2" t="s">
        <v>170</v>
      </c>
      <c r="C34" s="2" t="s">
        <v>18</v>
      </c>
      <c r="D34" s="5">
        <v>41.292879399999997</v>
      </c>
      <c r="E34" s="5">
        <v>36.3285269</v>
      </c>
      <c r="F34" s="2" t="s">
        <v>171</v>
      </c>
      <c r="G34" s="2" t="s">
        <v>28</v>
      </c>
      <c r="H34" s="2" t="s">
        <v>135</v>
      </c>
      <c r="I34" s="2" t="s">
        <v>135</v>
      </c>
      <c r="J34" s="2" t="s">
        <v>172</v>
      </c>
      <c r="K34" s="2" t="s">
        <v>22</v>
      </c>
      <c r="L34" s="2" t="s">
        <v>32</v>
      </c>
      <c r="M34" s="3">
        <v>2</v>
      </c>
      <c r="N34" s="3">
        <v>1</v>
      </c>
      <c r="O34" s="9" t="s">
        <v>24</v>
      </c>
      <c r="P34" s="3">
        <v>5101.21</v>
      </c>
    </row>
    <row r="35" spans="1:16" x14ac:dyDescent="0.3">
      <c r="A35" s="2" t="s">
        <v>173</v>
      </c>
      <c r="B35" s="2" t="s">
        <v>174</v>
      </c>
      <c r="C35" s="2" t="s">
        <v>18</v>
      </c>
      <c r="D35" s="5">
        <v>40.9095741</v>
      </c>
      <c r="E35" s="5">
        <v>35.8943388</v>
      </c>
      <c r="F35" s="2" t="s">
        <v>175</v>
      </c>
      <c r="G35" s="2" t="s">
        <v>28</v>
      </c>
      <c r="H35" s="2" t="s">
        <v>36</v>
      </c>
      <c r="I35" s="2" t="s">
        <v>37</v>
      </c>
      <c r="J35" s="2" t="s">
        <v>176</v>
      </c>
      <c r="K35" s="2" t="s">
        <v>22</v>
      </c>
      <c r="L35" s="2" t="s">
        <v>76</v>
      </c>
      <c r="M35" s="3">
        <v>2</v>
      </c>
      <c r="N35" s="3">
        <v>1</v>
      </c>
      <c r="O35" s="9" t="s">
        <v>24</v>
      </c>
      <c r="P35" s="3">
        <v>-821.65</v>
      </c>
    </row>
    <row r="36" spans="1:16" x14ac:dyDescent="0.3">
      <c r="A36" s="2" t="s">
        <v>177</v>
      </c>
      <c r="B36" s="2" t="s">
        <v>178</v>
      </c>
      <c r="C36" s="2" t="s">
        <v>18</v>
      </c>
      <c r="D36" s="5">
        <v>41.319192860400001</v>
      </c>
      <c r="E36" s="5">
        <v>36.3152232013</v>
      </c>
      <c r="F36" s="2" t="s">
        <v>179</v>
      </c>
      <c r="G36" s="2" t="s">
        <v>28</v>
      </c>
      <c r="H36" s="2" t="s">
        <v>29</v>
      </c>
      <c r="I36" s="2" t="s">
        <v>30</v>
      </c>
      <c r="J36" s="2" t="s">
        <v>180</v>
      </c>
      <c r="K36" s="2" t="s">
        <v>22</v>
      </c>
      <c r="L36" s="2" t="s">
        <v>32</v>
      </c>
      <c r="M36" s="3">
        <v>1</v>
      </c>
      <c r="N36" s="3">
        <v>1</v>
      </c>
      <c r="O36" s="9" t="s">
        <v>24</v>
      </c>
      <c r="P36" s="3">
        <v>0</v>
      </c>
    </row>
    <row r="37" spans="1:16" x14ac:dyDescent="0.3">
      <c r="A37" s="2" t="s">
        <v>181</v>
      </c>
      <c r="B37" s="2" t="s">
        <v>182</v>
      </c>
      <c r="C37" s="2" t="s">
        <v>18</v>
      </c>
      <c r="D37" s="5">
        <v>41.386213699999999</v>
      </c>
      <c r="E37" s="5">
        <v>36.099657000000001</v>
      </c>
      <c r="F37" s="2" t="s">
        <v>183</v>
      </c>
      <c r="G37" s="2" t="s">
        <v>28</v>
      </c>
      <c r="H37" s="2" t="s">
        <v>29</v>
      </c>
      <c r="I37" s="2" t="s">
        <v>30</v>
      </c>
      <c r="J37" s="2" t="s">
        <v>184</v>
      </c>
      <c r="K37" s="2" t="s">
        <v>22</v>
      </c>
      <c r="L37" s="2" t="s">
        <v>23</v>
      </c>
      <c r="M37" s="3">
        <v>1</v>
      </c>
      <c r="N37" s="3">
        <v>1</v>
      </c>
      <c r="O37" s="9" t="s">
        <v>24</v>
      </c>
      <c r="P37" s="3">
        <v>-856.35</v>
      </c>
    </row>
    <row r="38" spans="1:16" x14ac:dyDescent="0.3">
      <c r="A38" s="2" t="s">
        <v>185</v>
      </c>
      <c r="B38" s="2" t="s">
        <v>186</v>
      </c>
      <c r="C38" s="2" t="s">
        <v>18</v>
      </c>
      <c r="D38" s="5">
        <v>41.3592917</v>
      </c>
      <c r="E38" s="5">
        <v>36.646021699999999</v>
      </c>
      <c r="F38" s="2" t="s">
        <v>187</v>
      </c>
      <c r="G38" s="2" t="s">
        <v>28</v>
      </c>
      <c r="H38" s="2" t="s">
        <v>29</v>
      </c>
      <c r="I38" s="2" t="s">
        <v>30</v>
      </c>
      <c r="J38" s="2" t="s">
        <v>188</v>
      </c>
      <c r="K38" s="2" t="s">
        <v>22</v>
      </c>
      <c r="L38" s="2" t="s">
        <v>44</v>
      </c>
      <c r="M38" s="3">
        <v>1</v>
      </c>
      <c r="N38" s="3">
        <v>1</v>
      </c>
      <c r="O38" s="9" t="s">
        <v>24</v>
      </c>
      <c r="P38" s="3">
        <v>-822.46</v>
      </c>
    </row>
    <row r="39" spans="1:16" x14ac:dyDescent="0.3">
      <c r="A39" s="2" t="s">
        <v>189</v>
      </c>
      <c r="B39" s="2" t="s">
        <v>190</v>
      </c>
      <c r="C39" s="2" t="s">
        <v>18</v>
      </c>
      <c r="D39" s="5">
        <v>41.100909899999998</v>
      </c>
      <c r="E39" s="5">
        <v>35.802053399999998</v>
      </c>
      <c r="F39" s="2" t="s">
        <v>191</v>
      </c>
      <c r="G39" s="2" t="s">
        <v>28</v>
      </c>
      <c r="H39" s="2" t="s">
        <v>36</v>
      </c>
      <c r="I39" s="2" t="s">
        <v>37</v>
      </c>
      <c r="J39" s="2" t="s">
        <v>192</v>
      </c>
      <c r="K39" s="2" t="s">
        <v>22</v>
      </c>
      <c r="L39" s="2" t="s">
        <v>193</v>
      </c>
      <c r="M39" s="3">
        <v>1</v>
      </c>
      <c r="N39" s="3">
        <v>1</v>
      </c>
      <c r="O39" s="9" t="s">
        <v>24</v>
      </c>
      <c r="P39" s="3">
        <v>-0.94</v>
      </c>
    </row>
    <row r="40" spans="1:16" x14ac:dyDescent="0.3">
      <c r="A40" s="2" t="s">
        <v>194</v>
      </c>
      <c r="B40" s="2" t="s">
        <v>195</v>
      </c>
      <c r="C40" s="2" t="s">
        <v>18</v>
      </c>
      <c r="D40" s="5">
        <v>41.252077300000003</v>
      </c>
      <c r="E40" s="5">
        <v>36.361695400000002</v>
      </c>
      <c r="F40" s="2" t="s">
        <v>196</v>
      </c>
      <c r="G40" s="2" t="s">
        <v>28</v>
      </c>
      <c r="H40" s="2" t="s">
        <v>36</v>
      </c>
      <c r="I40" s="2" t="s">
        <v>37</v>
      </c>
      <c r="J40" s="2" t="s">
        <v>197</v>
      </c>
      <c r="K40" s="2" t="s">
        <v>22</v>
      </c>
      <c r="L40" s="2" t="s">
        <v>99</v>
      </c>
      <c r="M40" s="3">
        <v>2</v>
      </c>
      <c r="N40" s="3">
        <v>1</v>
      </c>
      <c r="O40" s="9" t="s">
        <v>24</v>
      </c>
      <c r="P40" s="3">
        <v>-2527.65</v>
      </c>
    </row>
    <row r="41" spans="1:16" x14ac:dyDescent="0.3">
      <c r="A41" s="2" t="s">
        <v>198</v>
      </c>
      <c r="B41" s="2" t="s">
        <v>199</v>
      </c>
      <c r="C41" s="2" t="s">
        <v>18</v>
      </c>
      <c r="D41" s="5">
        <v>41.257927899999999</v>
      </c>
      <c r="E41" s="5">
        <v>36.350510499999999</v>
      </c>
      <c r="F41" s="2" t="s">
        <v>200</v>
      </c>
      <c r="G41" s="2" t="s">
        <v>28</v>
      </c>
      <c r="H41" s="2" t="s">
        <v>36</v>
      </c>
      <c r="I41" s="2" t="s">
        <v>37</v>
      </c>
      <c r="J41" s="2" t="s">
        <v>201</v>
      </c>
      <c r="K41" s="2" t="s">
        <v>22</v>
      </c>
      <c r="L41" s="2" t="s">
        <v>99</v>
      </c>
      <c r="M41" s="3">
        <v>1</v>
      </c>
      <c r="N41" s="3">
        <v>1</v>
      </c>
      <c r="O41" s="9" t="s">
        <v>24</v>
      </c>
      <c r="P41" s="3">
        <v>1033.52</v>
      </c>
    </row>
    <row r="42" spans="1:16" x14ac:dyDescent="0.3">
      <c r="A42" s="2" t="s">
        <v>202</v>
      </c>
      <c r="B42" s="2" t="s">
        <v>203</v>
      </c>
      <c r="C42" s="2" t="s">
        <v>18</v>
      </c>
      <c r="D42" s="5">
        <v>41.564048300000003</v>
      </c>
      <c r="E42" s="5">
        <v>35.891801399999999</v>
      </c>
      <c r="F42" s="2" t="s">
        <v>204</v>
      </c>
      <c r="G42" s="2" t="s">
        <v>28</v>
      </c>
      <c r="H42" s="2" t="s">
        <v>29</v>
      </c>
      <c r="I42" s="2" t="s">
        <v>30</v>
      </c>
      <c r="J42" s="2" t="s">
        <v>205</v>
      </c>
      <c r="K42" s="2" t="s">
        <v>22</v>
      </c>
      <c r="L42" s="2" t="s">
        <v>53</v>
      </c>
      <c r="M42" s="3">
        <v>1</v>
      </c>
      <c r="N42" s="3">
        <v>1</v>
      </c>
      <c r="O42" s="9" t="s">
        <v>24</v>
      </c>
      <c r="P42" s="3">
        <v>-764.8</v>
      </c>
    </row>
    <row r="43" spans="1:16" x14ac:dyDescent="0.3">
      <c r="A43" s="2" t="s">
        <v>206</v>
      </c>
      <c r="B43" s="2" t="s">
        <v>207</v>
      </c>
      <c r="C43" s="2" t="s">
        <v>18</v>
      </c>
      <c r="D43" s="5">
        <v>41.049576399999999</v>
      </c>
      <c r="E43" s="5">
        <v>35.445711299999999</v>
      </c>
      <c r="F43" s="2" t="s">
        <v>208</v>
      </c>
      <c r="G43" s="2" t="s">
        <v>28</v>
      </c>
      <c r="H43" s="2" t="s">
        <v>29</v>
      </c>
      <c r="I43" s="2" t="s">
        <v>30</v>
      </c>
      <c r="J43" s="2" t="s">
        <v>209</v>
      </c>
      <c r="K43" s="2" t="s">
        <v>22</v>
      </c>
      <c r="L43" s="2" t="s">
        <v>164</v>
      </c>
      <c r="M43" s="3">
        <v>1</v>
      </c>
      <c r="N43" s="3">
        <v>1</v>
      </c>
      <c r="O43" s="9" t="s">
        <v>24</v>
      </c>
      <c r="P43" s="3">
        <v>1.05</v>
      </c>
    </row>
    <row r="44" spans="1:16" x14ac:dyDescent="0.3">
      <c r="A44" s="2" t="s">
        <v>210</v>
      </c>
      <c r="B44" s="2" t="s">
        <v>211</v>
      </c>
      <c r="C44" s="2" t="s">
        <v>18</v>
      </c>
      <c r="D44" s="5">
        <v>40.988751100000002</v>
      </c>
      <c r="E44" s="5">
        <v>36.6338808</v>
      </c>
      <c r="F44" s="2" t="s">
        <v>212</v>
      </c>
      <c r="G44" s="2" t="s">
        <v>28</v>
      </c>
      <c r="H44" s="2" t="s">
        <v>135</v>
      </c>
      <c r="I44" s="2" t="s">
        <v>135</v>
      </c>
      <c r="J44" s="2" t="s">
        <v>213</v>
      </c>
      <c r="K44" s="2" t="s">
        <v>22</v>
      </c>
      <c r="L44" s="2" t="s">
        <v>145</v>
      </c>
      <c r="M44" s="3">
        <v>2</v>
      </c>
      <c r="N44" s="3">
        <v>1</v>
      </c>
      <c r="O44" s="9" t="s">
        <v>24</v>
      </c>
      <c r="P44" s="3">
        <v>-3827.05</v>
      </c>
    </row>
    <row r="45" spans="1:16" x14ac:dyDescent="0.3">
      <c r="A45" s="2" t="s">
        <v>214</v>
      </c>
      <c r="B45" s="2" t="s">
        <v>215</v>
      </c>
      <c r="C45" s="2" t="s">
        <v>18</v>
      </c>
      <c r="D45" s="5">
        <v>41.512879699999999</v>
      </c>
      <c r="E45" s="5">
        <v>36.104225200000002</v>
      </c>
      <c r="F45" s="2" t="s">
        <v>216</v>
      </c>
      <c r="G45" s="2" t="s">
        <v>28</v>
      </c>
      <c r="H45" s="2" t="s">
        <v>29</v>
      </c>
      <c r="I45" s="2" t="s">
        <v>30</v>
      </c>
      <c r="J45" s="2" t="s">
        <v>217</v>
      </c>
      <c r="K45" s="2" t="s">
        <v>22</v>
      </c>
      <c r="L45" s="2" t="s">
        <v>32</v>
      </c>
      <c r="M45" s="3">
        <v>1</v>
      </c>
      <c r="N45" s="3">
        <v>1</v>
      </c>
      <c r="O45" s="9" t="s">
        <v>24</v>
      </c>
      <c r="P45" s="3">
        <v>0.36</v>
      </c>
    </row>
    <row r="46" spans="1:16" x14ac:dyDescent="0.3">
      <c r="A46" s="2" t="s">
        <v>218</v>
      </c>
      <c r="B46" s="2" t="s">
        <v>219</v>
      </c>
      <c r="C46" s="2" t="s">
        <v>18</v>
      </c>
      <c r="D46" s="5">
        <v>41.141153000000003</v>
      </c>
      <c r="E46" s="5">
        <v>36.117698699999998</v>
      </c>
      <c r="F46" s="2" t="s">
        <v>220</v>
      </c>
      <c r="G46" s="2" t="s">
        <v>221</v>
      </c>
      <c r="H46" s="2" t="s">
        <v>222</v>
      </c>
      <c r="I46" s="2" t="s">
        <v>222</v>
      </c>
      <c r="J46" s="2" t="s">
        <v>223</v>
      </c>
      <c r="K46" s="2" t="s">
        <v>22</v>
      </c>
      <c r="L46" s="2" t="s">
        <v>224</v>
      </c>
      <c r="M46" s="3">
        <v>0</v>
      </c>
      <c r="N46" s="3">
        <v>0</v>
      </c>
      <c r="O46" s="9" t="s">
        <v>24</v>
      </c>
      <c r="P46" s="3">
        <v>0</v>
      </c>
    </row>
    <row r="47" spans="1:16" x14ac:dyDescent="0.3">
      <c r="A47" s="2" t="s">
        <v>225</v>
      </c>
      <c r="B47" s="2" t="s">
        <v>226</v>
      </c>
      <c r="C47" s="2" t="s">
        <v>18</v>
      </c>
      <c r="D47" s="5">
        <v>41.003245999999997</v>
      </c>
      <c r="E47" s="5">
        <v>36.632201999999999</v>
      </c>
      <c r="F47" s="2" t="s">
        <v>227</v>
      </c>
      <c r="G47" s="2" t="s">
        <v>28</v>
      </c>
      <c r="H47" s="2" t="s">
        <v>29</v>
      </c>
      <c r="I47" s="2" t="s">
        <v>30</v>
      </c>
      <c r="J47" s="2" t="s">
        <v>228</v>
      </c>
      <c r="K47" s="2" t="s">
        <v>22</v>
      </c>
      <c r="L47" s="2" t="s">
        <v>145</v>
      </c>
      <c r="M47" s="3">
        <v>1</v>
      </c>
      <c r="N47" s="3">
        <v>1</v>
      </c>
      <c r="O47" s="9" t="s">
        <v>24</v>
      </c>
      <c r="P47" s="3">
        <v>-2268.67</v>
      </c>
    </row>
    <row r="48" spans="1:16" x14ac:dyDescent="0.3">
      <c r="A48" s="2" t="s">
        <v>229</v>
      </c>
      <c r="B48" s="2" t="s">
        <v>230</v>
      </c>
      <c r="C48" s="2" t="s">
        <v>18</v>
      </c>
      <c r="D48" s="5">
        <v>41.256189599999999</v>
      </c>
      <c r="E48" s="5">
        <v>36.357156099999997</v>
      </c>
      <c r="F48" s="2" t="s">
        <v>231</v>
      </c>
      <c r="G48" s="2" t="s">
        <v>28</v>
      </c>
      <c r="H48" s="2" t="s">
        <v>29</v>
      </c>
      <c r="I48" s="2" t="s">
        <v>30</v>
      </c>
      <c r="J48" s="2" t="s">
        <v>232</v>
      </c>
      <c r="K48" s="2" t="s">
        <v>22</v>
      </c>
      <c r="L48" s="2" t="s">
        <v>32</v>
      </c>
      <c r="M48" s="3">
        <v>0</v>
      </c>
      <c r="N48" s="3">
        <v>1</v>
      </c>
      <c r="O48" s="9" t="s">
        <v>24</v>
      </c>
      <c r="P48" s="3">
        <v>-1907.76</v>
      </c>
    </row>
    <row r="49" spans="1:16" x14ac:dyDescent="0.3">
      <c r="A49" s="2" t="s">
        <v>233</v>
      </c>
      <c r="B49" s="2" t="s">
        <v>234</v>
      </c>
      <c r="C49" s="2" t="s">
        <v>18</v>
      </c>
      <c r="D49" s="5">
        <v>41.2667906</v>
      </c>
      <c r="E49" s="5">
        <v>36.375053700000002</v>
      </c>
      <c r="F49" s="2" t="s">
        <v>235</v>
      </c>
      <c r="G49" s="2" t="s">
        <v>28</v>
      </c>
      <c r="H49" s="2" t="s">
        <v>29</v>
      </c>
      <c r="I49" s="2" t="s">
        <v>30</v>
      </c>
      <c r="J49" s="2" t="s">
        <v>236</v>
      </c>
      <c r="K49" s="2" t="s">
        <v>22</v>
      </c>
      <c r="L49" s="2" t="s">
        <v>99</v>
      </c>
      <c r="M49" s="3">
        <v>1</v>
      </c>
      <c r="N49" s="3">
        <v>1</v>
      </c>
      <c r="O49" s="9" t="s">
        <v>24</v>
      </c>
      <c r="P49" s="3">
        <v>2000</v>
      </c>
    </row>
    <row r="50" spans="1:16" x14ac:dyDescent="0.3">
      <c r="A50" s="2" t="s">
        <v>237</v>
      </c>
      <c r="B50" s="2" t="s">
        <v>238</v>
      </c>
      <c r="C50" s="2" t="s">
        <v>18</v>
      </c>
      <c r="D50" s="5">
        <v>42.029249999999998</v>
      </c>
      <c r="E50" s="5">
        <v>35.1507164</v>
      </c>
      <c r="F50" s="2" t="s">
        <v>239</v>
      </c>
      <c r="G50" s="2" t="s">
        <v>28</v>
      </c>
      <c r="H50" s="2" t="s">
        <v>29</v>
      </c>
      <c r="I50" s="2" t="s">
        <v>30</v>
      </c>
      <c r="J50" s="2" t="s">
        <v>240</v>
      </c>
      <c r="K50" s="2" t="s">
        <v>154</v>
      </c>
      <c r="L50" s="2" t="s">
        <v>155</v>
      </c>
      <c r="M50" s="3">
        <v>1</v>
      </c>
      <c r="N50" s="3">
        <v>1</v>
      </c>
      <c r="O50" s="9" t="s">
        <v>54</v>
      </c>
      <c r="P50" s="3">
        <v>0</v>
      </c>
    </row>
    <row r="51" spans="1:16" x14ac:dyDescent="0.3">
      <c r="A51" s="2" t="s">
        <v>241</v>
      </c>
      <c r="B51" s="2" t="s">
        <v>242</v>
      </c>
      <c r="C51" s="2" t="s">
        <v>18</v>
      </c>
      <c r="D51" s="5">
        <v>41.138657421453999</v>
      </c>
      <c r="E51" s="5">
        <v>35.465698658019001</v>
      </c>
      <c r="F51" s="2" t="s">
        <v>243</v>
      </c>
      <c r="G51" s="2" t="s">
        <v>221</v>
      </c>
      <c r="H51" s="2" t="s">
        <v>222</v>
      </c>
      <c r="I51" s="2" t="s">
        <v>222</v>
      </c>
      <c r="J51" s="2" t="s">
        <v>244</v>
      </c>
      <c r="K51" s="2" t="s">
        <v>22</v>
      </c>
      <c r="L51" s="2" t="s">
        <v>164</v>
      </c>
      <c r="M51" s="3">
        <v>1</v>
      </c>
      <c r="N51" s="3">
        <v>1</v>
      </c>
      <c r="O51" s="9" t="s">
        <v>24</v>
      </c>
      <c r="P51" s="3">
        <v>0</v>
      </c>
    </row>
    <row r="52" spans="1:16" x14ac:dyDescent="0.3">
      <c r="A52" s="2" t="s">
        <v>245</v>
      </c>
      <c r="B52" s="2" t="s">
        <v>246</v>
      </c>
      <c r="C52" s="2" t="s">
        <v>18</v>
      </c>
      <c r="D52" s="5">
        <v>41.125770000000003</v>
      </c>
      <c r="E52" s="5">
        <v>35.487908300000001</v>
      </c>
      <c r="F52" s="2" t="s">
        <v>247</v>
      </c>
      <c r="G52" s="2" t="s">
        <v>28</v>
      </c>
      <c r="H52" s="2" t="s">
        <v>29</v>
      </c>
      <c r="I52" s="2" t="s">
        <v>30</v>
      </c>
      <c r="J52" s="2" t="s">
        <v>248</v>
      </c>
      <c r="K52" s="2" t="s">
        <v>22</v>
      </c>
      <c r="L52" s="2" t="s">
        <v>164</v>
      </c>
      <c r="M52" s="3">
        <v>0</v>
      </c>
      <c r="N52" s="3">
        <v>0</v>
      </c>
      <c r="O52" s="9" t="s">
        <v>24</v>
      </c>
      <c r="P52" s="3">
        <v>0</v>
      </c>
    </row>
    <row r="53" spans="1:16" x14ac:dyDescent="0.3">
      <c r="A53" s="2" t="s">
        <v>249</v>
      </c>
      <c r="B53" s="2" t="s">
        <v>250</v>
      </c>
      <c r="C53" s="2" t="s">
        <v>18</v>
      </c>
      <c r="D53" s="5">
        <v>41.101595199999998</v>
      </c>
      <c r="E53" s="5">
        <v>35.544264099999999</v>
      </c>
      <c r="F53" s="2" t="s">
        <v>251</v>
      </c>
      <c r="G53" s="2" t="s">
        <v>28</v>
      </c>
      <c r="H53" s="2" t="s">
        <v>29</v>
      </c>
      <c r="I53" s="2" t="s">
        <v>30</v>
      </c>
      <c r="J53" s="2" t="s">
        <v>252</v>
      </c>
      <c r="K53" s="2" t="s">
        <v>22</v>
      </c>
      <c r="L53" s="2" t="s">
        <v>164</v>
      </c>
      <c r="M53" s="3">
        <v>2</v>
      </c>
      <c r="N53" s="3">
        <v>1</v>
      </c>
      <c r="O53" s="9" t="s">
        <v>24</v>
      </c>
      <c r="P53" s="3">
        <v>-3.41</v>
      </c>
    </row>
    <row r="54" spans="1:16" x14ac:dyDescent="0.3">
      <c r="A54" s="2" t="s">
        <v>253</v>
      </c>
      <c r="B54" s="2" t="s">
        <v>254</v>
      </c>
      <c r="C54" s="2" t="s">
        <v>18</v>
      </c>
      <c r="D54" s="5">
        <v>41.064765299999998</v>
      </c>
      <c r="E54" s="5">
        <v>35.476574200000002</v>
      </c>
      <c r="F54" s="2" t="s">
        <v>255</v>
      </c>
      <c r="G54" s="2" t="s">
        <v>28</v>
      </c>
      <c r="H54" s="2" t="s">
        <v>29</v>
      </c>
      <c r="I54" s="2" t="s">
        <v>30</v>
      </c>
      <c r="J54" s="2" t="s">
        <v>256</v>
      </c>
      <c r="K54" s="2" t="s">
        <v>22</v>
      </c>
      <c r="L54" s="2" t="s">
        <v>164</v>
      </c>
      <c r="M54" s="3">
        <v>2</v>
      </c>
      <c r="N54" s="3">
        <v>1</v>
      </c>
      <c r="O54" s="9" t="s">
        <v>24</v>
      </c>
      <c r="P54" s="3">
        <v>7.49</v>
      </c>
    </row>
    <row r="55" spans="1:16" x14ac:dyDescent="0.3">
      <c r="A55" s="2" t="s">
        <v>257</v>
      </c>
      <c r="B55" s="2" t="s">
        <v>258</v>
      </c>
      <c r="C55" s="2" t="s">
        <v>18</v>
      </c>
      <c r="D55" s="5">
        <v>41.277500000000003</v>
      </c>
      <c r="E55" s="5">
        <v>36.345397800000001</v>
      </c>
      <c r="F55" s="3"/>
      <c r="G55" s="2" t="s">
        <v>259</v>
      </c>
      <c r="H55" s="2" t="s">
        <v>260</v>
      </c>
      <c r="I55" s="2" t="s">
        <v>260</v>
      </c>
      <c r="J55" s="2" t="s">
        <v>261</v>
      </c>
      <c r="K55" s="2" t="s">
        <v>22</v>
      </c>
      <c r="L55" s="2" t="s">
        <v>112</v>
      </c>
      <c r="M55" s="3">
        <v>1</v>
      </c>
      <c r="N55" s="3">
        <v>1</v>
      </c>
      <c r="O55" s="9" t="s">
        <v>24</v>
      </c>
      <c r="P55" s="3">
        <v>0</v>
      </c>
    </row>
    <row r="56" spans="1:16" x14ac:dyDescent="0.3">
      <c r="A56" s="2" t="s">
        <v>262</v>
      </c>
      <c r="B56" s="2" t="s">
        <v>263</v>
      </c>
      <c r="C56" s="2" t="s">
        <v>18</v>
      </c>
      <c r="D56" s="5">
        <v>41.610090800000002</v>
      </c>
      <c r="E56" s="5">
        <v>35.601573799999997</v>
      </c>
      <c r="F56" s="3"/>
      <c r="G56" s="2" t="s">
        <v>259</v>
      </c>
      <c r="H56" s="2" t="s">
        <v>260</v>
      </c>
      <c r="I56" s="2" t="s">
        <v>260</v>
      </c>
      <c r="J56" s="2" t="s">
        <v>264</v>
      </c>
      <c r="K56" s="2" t="s">
        <v>22</v>
      </c>
      <c r="L56" s="2" t="s">
        <v>265</v>
      </c>
      <c r="M56" s="3">
        <v>1</v>
      </c>
      <c r="N56" s="3">
        <v>1</v>
      </c>
      <c r="O56" s="9" t="s">
        <v>24</v>
      </c>
      <c r="P56" s="3">
        <v>0</v>
      </c>
    </row>
    <row r="57" spans="1:16" x14ac:dyDescent="0.3">
      <c r="A57" s="2" t="s">
        <v>266</v>
      </c>
      <c r="B57" s="2" t="s">
        <v>267</v>
      </c>
      <c r="C57" s="2" t="s">
        <v>18</v>
      </c>
      <c r="D57" s="5">
        <v>41.333166184200003</v>
      </c>
      <c r="E57" s="5">
        <v>36.270234351299997</v>
      </c>
      <c r="F57" s="3"/>
      <c r="G57" s="2" t="s">
        <v>259</v>
      </c>
      <c r="H57" s="2" t="s">
        <v>260</v>
      </c>
      <c r="I57" s="2" t="s">
        <v>260</v>
      </c>
      <c r="J57" s="2" t="s">
        <v>268</v>
      </c>
      <c r="K57" s="2" t="s">
        <v>22</v>
      </c>
      <c r="L57" s="2" t="s">
        <v>112</v>
      </c>
      <c r="M57" s="3">
        <v>1</v>
      </c>
      <c r="N57" s="3">
        <v>1</v>
      </c>
      <c r="O57" s="9" t="s">
        <v>24</v>
      </c>
      <c r="P57" s="3">
        <v>0</v>
      </c>
    </row>
    <row r="58" spans="1:16" x14ac:dyDescent="0.3">
      <c r="A58" s="2" t="s">
        <v>269</v>
      </c>
      <c r="B58" s="2" t="s">
        <v>270</v>
      </c>
      <c r="C58" s="2" t="s">
        <v>18</v>
      </c>
      <c r="D58" s="5">
        <v>41.336503200000003</v>
      </c>
      <c r="E58" s="5">
        <v>36.259884499999998</v>
      </c>
      <c r="F58" s="3"/>
      <c r="G58" s="2" t="s">
        <v>259</v>
      </c>
      <c r="H58" s="2" t="s">
        <v>260</v>
      </c>
      <c r="I58" s="2" t="s">
        <v>260</v>
      </c>
      <c r="J58" s="2" t="s">
        <v>271</v>
      </c>
      <c r="K58" s="2" t="s">
        <v>22</v>
      </c>
      <c r="L58" s="2" t="s">
        <v>112</v>
      </c>
      <c r="M58" s="3">
        <v>1</v>
      </c>
      <c r="N58" s="3">
        <v>1</v>
      </c>
      <c r="O58" s="9" t="s">
        <v>24</v>
      </c>
      <c r="P58" s="3">
        <v>0</v>
      </c>
    </row>
    <row r="59" spans="1:16" x14ac:dyDescent="0.3">
      <c r="A59" s="2" t="s">
        <v>272</v>
      </c>
      <c r="B59" s="2" t="s">
        <v>273</v>
      </c>
      <c r="C59" s="2" t="s">
        <v>18</v>
      </c>
      <c r="D59" s="5">
        <v>41.2830297</v>
      </c>
      <c r="E59" s="5">
        <v>36.338183899999997</v>
      </c>
      <c r="F59" s="3"/>
      <c r="G59" s="2" t="s">
        <v>259</v>
      </c>
      <c r="H59" s="2" t="s">
        <v>260</v>
      </c>
      <c r="I59" s="2" t="s">
        <v>260</v>
      </c>
      <c r="J59" s="2" t="s">
        <v>274</v>
      </c>
      <c r="K59" s="2" t="s">
        <v>22</v>
      </c>
      <c r="L59" s="2" t="s">
        <v>112</v>
      </c>
      <c r="M59" s="3">
        <v>0</v>
      </c>
      <c r="N59" s="3">
        <v>1</v>
      </c>
      <c r="O59" s="9" t="s">
        <v>24</v>
      </c>
      <c r="P59" s="3">
        <v>0</v>
      </c>
    </row>
    <row r="60" spans="1:16" x14ac:dyDescent="0.3">
      <c r="A60" s="2" t="s">
        <v>275</v>
      </c>
      <c r="B60" s="2" t="s">
        <v>276</v>
      </c>
      <c r="C60" s="2" t="s">
        <v>18</v>
      </c>
      <c r="D60" s="5">
        <v>41.287199299999997</v>
      </c>
      <c r="E60" s="5">
        <v>36.334254600000001</v>
      </c>
      <c r="F60" s="3"/>
      <c r="G60" s="2" t="s">
        <v>259</v>
      </c>
      <c r="H60" s="2" t="s">
        <v>260</v>
      </c>
      <c r="I60" s="2" t="s">
        <v>260</v>
      </c>
      <c r="J60" s="2" t="s">
        <v>277</v>
      </c>
      <c r="K60" s="2" t="s">
        <v>22</v>
      </c>
      <c r="L60" s="2" t="s">
        <v>112</v>
      </c>
      <c r="M60" s="3">
        <v>0</v>
      </c>
      <c r="N60" s="3">
        <v>1</v>
      </c>
      <c r="O60" s="9" t="s">
        <v>24</v>
      </c>
      <c r="P60" s="3">
        <v>0</v>
      </c>
    </row>
    <row r="61" spans="1:16" x14ac:dyDescent="0.3">
      <c r="A61" s="2" t="s">
        <v>278</v>
      </c>
      <c r="B61" s="2" t="s">
        <v>279</v>
      </c>
      <c r="C61" s="2" t="s">
        <v>18</v>
      </c>
      <c r="D61" s="5">
        <v>41.272843899999998</v>
      </c>
      <c r="E61" s="5">
        <v>36.321536600000002</v>
      </c>
      <c r="F61" s="3"/>
      <c r="G61" s="2" t="s">
        <v>259</v>
      </c>
      <c r="H61" s="2" t="s">
        <v>260</v>
      </c>
      <c r="I61" s="2" t="s">
        <v>260</v>
      </c>
      <c r="J61" s="2" t="s">
        <v>280</v>
      </c>
      <c r="K61" s="2" t="s">
        <v>22</v>
      </c>
      <c r="L61" s="2" t="s">
        <v>112</v>
      </c>
      <c r="M61" s="3">
        <v>0</v>
      </c>
      <c r="N61" s="3">
        <v>1</v>
      </c>
      <c r="O61" s="9" t="s">
        <v>24</v>
      </c>
      <c r="P61" s="3">
        <v>0</v>
      </c>
    </row>
    <row r="62" spans="1:16" x14ac:dyDescent="0.3">
      <c r="A62" s="2" t="s">
        <v>281</v>
      </c>
      <c r="B62" s="2" t="s">
        <v>282</v>
      </c>
      <c r="C62" s="2" t="s">
        <v>18</v>
      </c>
      <c r="D62" s="5">
        <v>41.296960800000001</v>
      </c>
      <c r="E62" s="5">
        <v>36.328913499999999</v>
      </c>
      <c r="F62" s="3"/>
      <c r="G62" s="2" t="s">
        <v>259</v>
      </c>
      <c r="H62" s="2" t="s">
        <v>260</v>
      </c>
      <c r="I62" s="2" t="s">
        <v>260</v>
      </c>
      <c r="J62" s="2" t="s">
        <v>283</v>
      </c>
      <c r="K62" s="2" t="s">
        <v>22</v>
      </c>
      <c r="L62" s="2" t="s">
        <v>112</v>
      </c>
      <c r="M62" s="3">
        <v>0</v>
      </c>
      <c r="N62" s="3">
        <v>1</v>
      </c>
      <c r="O62" s="9" t="s">
        <v>24</v>
      </c>
      <c r="P62" s="3">
        <v>0</v>
      </c>
    </row>
    <row r="63" spans="1:16" x14ac:dyDescent="0.3">
      <c r="A63" s="2" t="s">
        <v>284</v>
      </c>
      <c r="B63" s="2" t="s">
        <v>285</v>
      </c>
      <c r="C63" s="2" t="s">
        <v>18</v>
      </c>
      <c r="D63" s="5">
        <v>41.270257999999998</v>
      </c>
      <c r="E63" s="5">
        <v>36.325810300000001</v>
      </c>
      <c r="F63" s="3"/>
      <c r="G63" s="2" t="s">
        <v>259</v>
      </c>
      <c r="H63" s="2" t="s">
        <v>260</v>
      </c>
      <c r="I63" s="2" t="s">
        <v>260</v>
      </c>
      <c r="J63" s="2" t="s">
        <v>286</v>
      </c>
      <c r="K63" s="2" t="s">
        <v>22</v>
      </c>
      <c r="L63" s="2" t="s">
        <v>112</v>
      </c>
      <c r="M63" s="3">
        <v>1</v>
      </c>
      <c r="N63" s="3">
        <v>1</v>
      </c>
      <c r="O63" s="9" t="s">
        <v>24</v>
      </c>
      <c r="P63" s="3">
        <v>0</v>
      </c>
    </row>
    <row r="64" spans="1:16" x14ac:dyDescent="0.3">
      <c r="A64" s="2" t="s">
        <v>287</v>
      </c>
      <c r="B64" s="2" t="s">
        <v>288</v>
      </c>
      <c r="C64" s="2" t="s">
        <v>18</v>
      </c>
      <c r="D64" s="5">
        <v>40.910833400000001</v>
      </c>
      <c r="E64" s="5">
        <v>35.895001100000002</v>
      </c>
      <c r="F64" s="3"/>
      <c r="G64" s="2" t="s">
        <v>259</v>
      </c>
      <c r="H64" s="2" t="s">
        <v>260</v>
      </c>
      <c r="I64" s="2" t="s">
        <v>260</v>
      </c>
      <c r="J64" s="2" t="s">
        <v>289</v>
      </c>
      <c r="K64" s="2" t="s">
        <v>22</v>
      </c>
      <c r="L64" s="2" t="s">
        <v>76</v>
      </c>
      <c r="M64" s="3">
        <v>1</v>
      </c>
      <c r="N64" s="3">
        <v>1</v>
      </c>
      <c r="O64" s="9" t="s">
        <v>24</v>
      </c>
      <c r="P64" s="3">
        <v>0</v>
      </c>
    </row>
    <row r="65" spans="1:16" x14ac:dyDescent="0.3">
      <c r="A65" s="2" t="s">
        <v>290</v>
      </c>
      <c r="B65" s="2" t="s">
        <v>291</v>
      </c>
      <c r="C65" s="2" t="s">
        <v>18</v>
      </c>
      <c r="D65" s="5">
        <v>41.302791900000003</v>
      </c>
      <c r="E65" s="5">
        <v>36.330109800000002</v>
      </c>
      <c r="F65" s="3"/>
      <c r="G65" s="2" t="s">
        <v>259</v>
      </c>
      <c r="H65" s="2" t="s">
        <v>260</v>
      </c>
      <c r="I65" s="2" t="s">
        <v>260</v>
      </c>
      <c r="J65" s="2" t="s">
        <v>292</v>
      </c>
      <c r="K65" s="2" t="s">
        <v>22</v>
      </c>
      <c r="L65" s="2" t="s">
        <v>112</v>
      </c>
      <c r="M65" s="3">
        <v>0</v>
      </c>
      <c r="N65" s="3">
        <v>1</v>
      </c>
      <c r="O65" s="9" t="s">
        <v>24</v>
      </c>
      <c r="P65" s="3">
        <v>0</v>
      </c>
    </row>
    <row r="66" spans="1:16" x14ac:dyDescent="0.3">
      <c r="A66" s="2" t="s">
        <v>293</v>
      </c>
      <c r="B66" s="2" t="s">
        <v>294</v>
      </c>
      <c r="C66" s="2" t="s">
        <v>18</v>
      </c>
      <c r="D66" s="5">
        <v>42.027135100000002</v>
      </c>
      <c r="E66" s="5">
        <v>35.1495514</v>
      </c>
      <c r="F66" s="3"/>
      <c r="G66" s="2" t="s">
        <v>259</v>
      </c>
      <c r="H66" s="2" t="s">
        <v>260</v>
      </c>
      <c r="I66" s="2" t="s">
        <v>260</v>
      </c>
      <c r="J66" s="2" t="s">
        <v>295</v>
      </c>
      <c r="K66" s="2" t="s">
        <v>154</v>
      </c>
      <c r="L66" s="2" t="s">
        <v>155</v>
      </c>
      <c r="M66" s="3">
        <v>1</v>
      </c>
      <c r="N66" s="3">
        <v>1</v>
      </c>
      <c r="O66" s="9" t="s">
        <v>24</v>
      </c>
      <c r="P66" s="3">
        <v>0</v>
      </c>
    </row>
    <row r="67" spans="1:16" x14ac:dyDescent="0.3">
      <c r="A67" s="2" t="s">
        <v>296</v>
      </c>
      <c r="B67" s="2" t="s">
        <v>297</v>
      </c>
      <c r="C67" s="2" t="s">
        <v>18</v>
      </c>
      <c r="D67" s="5">
        <v>42.027571000000002</v>
      </c>
      <c r="E67" s="5">
        <v>35.156762899999997</v>
      </c>
      <c r="F67" s="3"/>
      <c r="G67" s="2" t="s">
        <v>259</v>
      </c>
      <c r="H67" s="2" t="s">
        <v>260</v>
      </c>
      <c r="I67" s="2" t="s">
        <v>260</v>
      </c>
      <c r="J67" s="2" t="s">
        <v>298</v>
      </c>
      <c r="K67" s="2" t="s">
        <v>154</v>
      </c>
      <c r="L67" s="2" t="s">
        <v>155</v>
      </c>
      <c r="M67" s="3">
        <v>1</v>
      </c>
      <c r="N67" s="3">
        <v>1</v>
      </c>
      <c r="O67" s="9" t="s">
        <v>24</v>
      </c>
      <c r="P67" s="3">
        <v>0</v>
      </c>
    </row>
    <row r="68" spans="1:16" x14ac:dyDescent="0.3">
      <c r="A68" s="2" t="s">
        <v>299</v>
      </c>
      <c r="B68" s="2" t="s">
        <v>300</v>
      </c>
      <c r="C68" s="2" t="s">
        <v>18</v>
      </c>
      <c r="D68" s="5">
        <v>41.8042011</v>
      </c>
      <c r="E68" s="5">
        <v>35.192139699999998</v>
      </c>
      <c r="F68" s="3"/>
      <c r="G68" s="2" t="s">
        <v>259</v>
      </c>
      <c r="H68" s="2" t="s">
        <v>260</v>
      </c>
      <c r="I68" s="2" t="s">
        <v>260</v>
      </c>
      <c r="J68" s="2" t="s">
        <v>301</v>
      </c>
      <c r="K68" s="2" t="s">
        <v>154</v>
      </c>
      <c r="L68" s="2" t="s">
        <v>302</v>
      </c>
      <c r="M68" s="3">
        <v>1</v>
      </c>
      <c r="N68" s="3">
        <v>1</v>
      </c>
      <c r="O68" s="9" t="s">
        <v>24</v>
      </c>
      <c r="P68" s="3">
        <v>0</v>
      </c>
    </row>
    <row r="69" spans="1:16" x14ac:dyDescent="0.3">
      <c r="A69" s="2" t="s">
        <v>303</v>
      </c>
      <c r="B69" s="2" t="s">
        <v>304</v>
      </c>
      <c r="C69" s="2" t="s">
        <v>18</v>
      </c>
      <c r="D69" s="5">
        <v>40.791452</v>
      </c>
      <c r="E69" s="5">
        <v>37.016886999999997</v>
      </c>
      <c r="F69" s="3"/>
      <c r="G69" s="2" t="s">
        <v>259</v>
      </c>
      <c r="H69" s="2" t="s">
        <v>260</v>
      </c>
      <c r="I69" s="2" t="s">
        <v>260</v>
      </c>
      <c r="J69" s="2" t="s">
        <v>305</v>
      </c>
      <c r="K69" s="2" t="s">
        <v>63</v>
      </c>
      <c r="L69" s="2" t="s">
        <v>64</v>
      </c>
      <c r="M69" s="3">
        <v>2</v>
      </c>
      <c r="N69" s="3">
        <v>1</v>
      </c>
      <c r="O69" s="9" t="s">
        <v>24</v>
      </c>
      <c r="P69" s="3">
        <v>0</v>
      </c>
    </row>
    <row r="70" spans="1:16" x14ac:dyDescent="0.3">
      <c r="A70" s="2" t="s">
        <v>306</v>
      </c>
      <c r="B70" s="2" t="s">
        <v>307</v>
      </c>
      <c r="C70" s="2" t="s">
        <v>18</v>
      </c>
      <c r="D70" s="5">
        <v>41.127473299999998</v>
      </c>
      <c r="E70" s="5">
        <v>37.285429299999997</v>
      </c>
      <c r="F70" s="3"/>
      <c r="G70" s="2" t="s">
        <v>259</v>
      </c>
      <c r="H70" s="2" t="s">
        <v>260</v>
      </c>
      <c r="I70" s="2" t="s">
        <v>260</v>
      </c>
      <c r="J70" s="2" t="s">
        <v>308</v>
      </c>
      <c r="K70" s="2" t="s">
        <v>63</v>
      </c>
      <c r="L70" s="2" t="s">
        <v>89</v>
      </c>
      <c r="M70" s="3">
        <v>1</v>
      </c>
      <c r="N70" s="3">
        <v>1</v>
      </c>
      <c r="O70" s="9" t="s">
        <v>24</v>
      </c>
      <c r="P70" s="3">
        <v>0</v>
      </c>
    </row>
    <row r="71" spans="1:16" x14ac:dyDescent="0.3">
      <c r="A71" s="2" t="s">
        <v>309</v>
      </c>
      <c r="B71" s="2" t="s">
        <v>310</v>
      </c>
      <c r="C71" s="2" t="s">
        <v>18</v>
      </c>
      <c r="D71" s="5">
        <v>41.134631300000002</v>
      </c>
      <c r="E71" s="5">
        <v>37.287962100000001</v>
      </c>
      <c r="F71" s="3"/>
      <c r="G71" s="2" t="s">
        <v>259</v>
      </c>
      <c r="H71" s="2" t="s">
        <v>260</v>
      </c>
      <c r="I71" s="2" t="s">
        <v>260</v>
      </c>
      <c r="J71" s="2" t="s">
        <v>311</v>
      </c>
      <c r="K71" s="2" t="s">
        <v>63</v>
      </c>
      <c r="L71" s="2" t="s">
        <v>89</v>
      </c>
      <c r="M71" s="3">
        <v>1</v>
      </c>
      <c r="N71" s="3">
        <v>1</v>
      </c>
      <c r="O71" s="9" t="s">
        <v>24</v>
      </c>
      <c r="P71" s="3">
        <v>0</v>
      </c>
    </row>
    <row r="72" spans="1:16" x14ac:dyDescent="0.3">
      <c r="A72" s="2" t="s">
        <v>312</v>
      </c>
      <c r="B72" s="2" t="s">
        <v>313</v>
      </c>
      <c r="C72" s="2" t="s">
        <v>18</v>
      </c>
      <c r="D72" s="5">
        <v>42.023845799999997</v>
      </c>
      <c r="E72" s="5">
        <v>35.159951300000003</v>
      </c>
      <c r="F72" s="3"/>
      <c r="G72" s="2" t="s">
        <v>259</v>
      </c>
      <c r="H72" s="2" t="s">
        <v>260</v>
      </c>
      <c r="I72" s="2" t="s">
        <v>260</v>
      </c>
      <c r="J72" s="2" t="s">
        <v>314</v>
      </c>
      <c r="K72" s="2" t="s">
        <v>154</v>
      </c>
      <c r="L72" s="2" t="s">
        <v>155</v>
      </c>
      <c r="M72" s="3">
        <v>1</v>
      </c>
      <c r="N72" s="3">
        <v>1</v>
      </c>
      <c r="O72" s="9" t="s">
        <v>24</v>
      </c>
      <c r="P72" s="3">
        <v>0</v>
      </c>
    </row>
    <row r="73" spans="1:16" x14ac:dyDescent="0.3">
      <c r="A73" s="2" t="s">
        <v>315</v>
      </c>
      <c r="B73" s="2" t="s">
        <v>316</v>
      </c>
      <c r="C73" s="2" t="s">
        <v>18</v>
      </c>
      <c r="D73" s="5">
        <v>41.1955527</v>
      </c>
      <c r="E73" s="5">
        <v>36.7223386</v>
      </c>
      <c r="F73" s="2" t="s">
        <v>317</v>
      </c>
      <c r="G73" s="2" t="s">
        <v>28</v>
      </c>
      <c r="H73" s="2" t="s">
        <v>318</v>
      </c>
      <c r="I73" s="2" t="s">
        <v>30</v>
      </c>
      <c r="J73" s="2" t="s">
        <v>319</v>
      </c>
      <c r="K73" s="2" t="s">
        <v>22</v>
      </c>
      <c r="L73" s="2" t="s">
        <v>44</v>
      </c>
      <c r="M73" s="3">
        <v>1</v>
      </c>
      <c r="N73" s="3">
        <v>1</v>
      </c>
      <c r="O73" s="9" t="s">
        <v>24</v>
      </c>
      <c r="P73" s="3">
        <v>-2628.37</v>
      </c>
    </row>
    <row r="74" spans="1:16" x14ac:dyDescent="0.3">
      <c r="A74" s="2" t="s">
        <v>320</v>
      </c>
      <c r="B74" s="2" t="s">
        <v>321</v>
      </c>
      <c r="C74" s="2" t="s">
        <v>18</v>
      </c>
      <c r="D74" s="5">
        <v>41.143059200000003</v>
      </c>
      <c r="E74" s="5">
        <v>36.567013500000002</v>
      </c>
      <c r="F74" s="2" t="s">
        <v>322</v>
      </c>
      <c r="G74" s="2" t="s">
        <v>28</v>
      </c>
      <c r="H74" s="2" t="s">
        <v>36</v>
      </c>
      <c r="I74" s="2" t="s">
        <v>37</v>
      </c>
      <c r="J74" s="2" t="s">
        <v>323</v>
      </c>
      <c r="K74" s="2" t="s">
        <v>22</v>
      </c>
      <c r="L74" s="2" t="s">
        <v>39</v>
      </c>
      <c r="M74" s="3">
        <v>2</v>
      </c>
      <c r="N74" s="3">
        <v>1</v>
      </c>
      <c r="O74" s="9" t="s">
        <v>24</v>
      </c>
      <c r="P74" s="3">
        <v>-3194.78</v>
      </c>
    </row>
    <row r="75" spans="1:16" x14ac:dyDescent="0.3">
      <c r="A75" s="2" t="s">
        <v>324</v>
      </c>
      <c r="B75" s="2" t="s">
        <v>325</v>
      </c>
      <c r="C75" s="2" t="s">
        <v>18</v>
      </c>
      <c r="D75" s="5">
        <v>41.144193299999998</v>
      </c>
      <c r="E75" s="5">
        <v>37.041969999999999</v>
      </c>
      <c r="F75" s="2" t="s">
        <v>326</v>
      </c>
      <c r="G75" s="2" t="s">
        <v>28</v>
      </c>
      <c r="H75" s="2" t="s">
        <v>29</v>
      </c>
      <c r="I75" s="2" t="s">
        <v>30</v>
      </c>
      <c r="J75" s="2" t="s">
        <v>327</v>
      </c>
      <c r="K75" s="2" t="s">
        <v>22</v>
      </c>
      <c r="L75" s="2" t="s">
        <v>328</v>
      </c>
      <c r="M75" s="3">
        <v>3</v>
      </c>
      <c r="N75" s="3">
        <v>1</v>
      </c>
      <c r="O75" s="9" t="s">
        <v>24</v>
      </c>
      <c r="P75" s="3">
        <v>-0.24</v>
      </c>
    </row>
    <row r="76" spans="1:16" x14ac:dyDescent="0.3">
      <c r="A76" s="2" t="s">
        <v>329</v>
      </c>
      <c r="B76" s="2" t="s">
        <v>330</v>
      </c>
      <c r="C76" s="2" t="s">
        <v>18</v>
      </c>
      <c r="D76" s="5">
        <v>41.271389999999997</v>
      </c>
      <c r="E76" s="5">
        <v>36.316249999999997</v>
      </c>
      <c r="F76" s="2" t="s">
        <v>331</v>
      </c>
      <c r="G76" s="2" t="s">
        <v>28</v>
      </c>
      <c r="H76" s="2" t="s">
        <v>29</v>
      </c>
      <c r="I76" s="2" t="s">
        <v>30</v>
      </c>
      <c r="J76" s="2" t="s">
        <v>332</v>
      </c>
      <c r="K76" s="2" t="s">
        <v>22</v>
      </c>
      <c r="L76" s="2" t="s">
        <v>32</v>
      </c>
      <c r="M76" s="3">
        <v>2</v>
      </c>
      <c r="N76" s="3">
        <v>1</v>
      </c>
      <c r="O76" s="9" t="s">
        <v>24</v>
      </c>
      <c r="P76" s="3">
        <v>0</v>
      </c>
    </row>
    <row r="77" spans="1:16" x14ac:dyDescent="0.3">
      <c r="A77" s="2" t="s">
        <v>333</v>
      </c>
      <c r="B77" s="2" t="s">
        <v>334</v>
      </c>
      <c r="C77" s="2" t="s">
        <v>18</v>
      </c>
      <c r="D77" s="5">
        <v>41.111040000000003</v>
      </c>
      <c r="E77" s="5">
        <v>35.427410000000002</v>
      </c>
      <c r="F77" s="2" t="s">
        <v>335</v>
      </c>
      <c r="G77" s="2" t="s">
        <v>28</v>
      </c>
      <c r="H77" s="2" t="s">
        <v>29</v>
      </c>
      <c r="I77" s="2" t="s">
        <v>30</v>
      </c>
      <c r="J77" s="2" t="s">
        <v>336</v>
      </c>
      <c r="K77" s="2" t="s">
        <v>22</v>
      </c>
      <c r="L77" s="2" t="s">
        <v>164</v>
      </c>
      <c r="M77" s="3">
        <v>0</v>
      </c>
      <c r="N77" s="3">
        <v>0</v>
      </c>
      <c r="O77" s="9" t="s">
        <v>24</v>
      </c>
      <c r="P77" s="3">
        <v>0</v>
      </c>
    </row>
    <row r="78" spans="1:16" x14ac:dyDescent="0.3">
      <c r="A78" s="2" t="s">
        <v>337</v>
      </c>
      <c r="B78" s="2" t="s">
        <v>338</v>
      </c>
      <c r="C78" s="2" t="s">
        <v>18</v>
      </c>
      <c r="D78" s="5">
        <v>41.2051224</v>
      </c>
      <c r="E78" s="5">
        <v>36.722285399999997</v>
      </c>
      <c r="F78" s="2" t="s">
        <v>339</v>
      </c>
      <c r="G78" s="2" t="s">
        <v>28</v>
      </c>
      <c r="H78" s="2" t="s">
        <v>135</v>
      </c>
      <c r="I78" s="2" t="s">
        <v>135</v>
      </c>
      <c r="J78" s="2" t="s">
        <v>340</v>
      </c>
      <c r="K78" s="2" t="s">
        <v>22</v>
      </c>
      <c r="L78" s="2" t="s">
        <v>44</v>
      </c>
      <c r="M78" s="3">
        <v>1</v>
      </c>
      <c r="N78" s="3">
        <v>1</v>
      </c>
      <c r="O78" s="9" t="s">
        <v>24</v>
      </c>
      <c r="P78" s="3">
        <v>-2524.73</v>
      </c>
    </row>
    <row r="79" spans="1:16" x14ac:dyDescent="0.3">
      <c r="A79" s="2" t="s">
        <v>341</v>
      </c>
      <c r="B79" s="2" t="s">
        <v>342</v>
      </c>
      <c r="C79" s="2" t="s">
        <v>18</v>
      </c>
      <c r="D79" s="5">
        <v>41.2021522</v>
      </c>
      <c r="E79" s="5">
        <v>36.446798800000003</v>
      </c>
      <c r="F79" s="2" t="s">
        <v>343</v>
      </c>
      <c r="G79" s="2" t="s">
        <v>28</v>
      </c>
      <c r="H79" s="2" t="s">
        <v>36</v>
      </c>
      <c r="I79" s="2" t="s">
        <v>37</v>
      </c>
      <c r="J79" s="2" t="s">
        <v>344</v>
      </c>
      <c r="K79" s="2" t="s">
        <v>22</v>
      </c>
      <c r="L79" s="2" t="s">
        <v>39</v>
      </c>
      <c r="M79" s="3">
        <v>1</v>
      </c>
      <c r="N79" s="3">
        <v>1</v>
      </c>
      <c r="O79" s="9" t="s">
        <v>24</v>
      </c>
      <c r="P79" s="3">
        <v>0</v>
      </c>
    </row>
    <row r="80" spans="1:16" x14ac:dyDescent="0.3">
      <c r="A80" s="2" t="s">
        <v>345</v>
      </c>
      <c r="B80" s="2" t="s">
        <v>346</v>
      </c>
      <c r="C80" s="2" t="s">
        <v>18</v>
      </c>
      <c r="D80" s="5">
        <v>41.262894799999998</v>
      </c>
      <c r="E80" s="5">
        <v>36.351834099999998</v>
      </c>
      <c r="F80" s="2" t="s">
        <v>347</v>
      </c>
      <c r="G80" s="2" t="s">
        <v>348</v>
      </c>
      <c r="H80" s="2" t="s">
        <v>349</v>
      </c>
      <c r="I80" s="2" t="s">
        <v>350</v>
      </c>
      <c r="J80" s="2" t="s">
        <v>351</v>
      </c>
      <c r="K80" s="2" t="s">
        <v>22</v>
      </c>
      <c r="L80" s="2" t="s">
        <v>99</v>
      </c>
      <c r="M80" s="3">
        <v>1</v>
      </c>
      <c r="N80" s="3">
        <v>1</v>
      </c>
      <c r="O80" s="9" t="s">
        <v>24</v>
      </c>
      <c r="P80" s="3">
        <v>87130.22</v>
      </c>
    </row>
    <row r="81" spans="1:16" x14ac:dyDescent="0.3">
      <c r="A81" s="2" t="s">
        <v>352</v>
      </c>
      <c r="B81" s="2" t="s">
        <v>353</v>
      </c>
      <c r="C81" s="2" t="s">
        <v>18</v>
      </c>
      <c r="D81" s="5">
        <v>41.276305000000001</v>
      </c>
      <c r="E81" s="5">
        <v>36.325665600000001</v>
      </c>
      <c r="F81" s="3"/>
      <c r="G81" s="2" t="s">
        <v>259</v>
      </c>
      <c r="H81" s="2" t="s">
        <v>260</v>
      </c>
      <c r="I81" s="2" t="s">
        <v>260</v>
      </c>
      <c r="J81" s="2" t="s">
        <v>354</v>
      </c>
      <c r="K81" s="2" t="s">
        <v>22</v>
      </c>
      <c r="L81" s="2" t="s">
        <v>32</v>
      </c>
      <c r="M81" s="3">
        <v>1</v>
      </c>
      <c r="N81" s="3">
        <v>1</v>
      </c>
      <c r="O81" s="9" t="s">
        <v>24</v>
      </c>
      <c r="P81" s="3">
        <v>0</v>
      </c>
    </row>
    <row r="82" spans="1:16" x14ac:dyDescent="0.3">
      <c r="A82" s="2" t="s">
        <v>355</v>
      </c>
      <c r="B82" s="2" t="s">
        <v>356</v>
      </c>
      <c r="C82" s="2" t="s">
        <v>18</v>
      </c>
      <c r="D82" s="5">
        <v>41.333423099999997</v>
      </c>
      <c r="E82" s="5">
        <v>36.2834249</v>
      </c>
      <c r="F82" s="3"/>
      <c r="G82" s="2" t="s">
        <v>259</v>
      </c>
      <c r="H82" s="2" t="s">
        <v>260</v>
      </c>
      <c r="I82" s="2" t="s">
        <v>260</v>
      </c>
      <c r="J82" s="2" t="s">
        <v>357</v>
      </c>
      <c r="K82" s="2" t="s">
        <v>22</v>
      </c>
      <c r="L82" s="2" t="s">
        <v>112</v>
      </c>
      <c r="M82" s="3">
        <v>1</v>
      </c>
      <c r="N82" s="3">
        <v>1</v>
      </c>
      <c r="O82" s="9" t="s">
        <v>24</v>
      </c>
      <c r="P82" s="3">
        <v>0</v>
      </c>
    </row>
    <row r="83" spans="1:16" x14ac:dyDescent="0.3">
      <c r="A83" s="2" t="s">
        <v>358</v>
      </c>
      <c r="B83" s="2" t="s">
        <v>359</v>
      </c>
      <c r="C83" s="2" t="s">
        <v>18</v>
      </c>
      <c r="D83" s="5">
        <v>41.143174600000002</v>
      </c>
      <c r="E83" s="5">
        <v>37.271458500000001</v>
      </c>
      <c r="F83" s="3"/>
      <c r="G83" s="2" t="s">
        <v>19</v>
      </c>
      <c r="H83" s="2" t="s">
        <v>20</v>
      </c>
      <c r="I83" s="2" t="s">
        <v>19</v>
      </c>
      <c r="J83" s="2" t="s">
        <v>360</v>
      </c>
      <c r="K83" s="2" t="s">
        <v>63</v>
      </c>
      <c r="L83" s="2" t="s">
        <v>89</v>
      </c>
      <c r="M83" s="3">
        <v>1</v>
      </c>
      <c r="N83" s="3">
        <v>1</v>
      </c>
      <c r="O83" s="9" t="s">
        <v>24</v>
      </c>
      <c r="P83" s="3">
        <v>0</v>
      </c>
    </row>
    <row r="84" spans="1:16" x14ac:dyDescent="0.3">
      <c r="A84" s="2" t="s">
        <v>361</v>
      </c>
      <c r="B84" s="2" t="s">
        <v>362</v>
      </c>
      <c r="C84" s="2" t="s">
        <v>18</v>
      </c>
      <c r="D84" s="5">
        <v>41.2632458</v>
      </c>
      <c r="E84" s="5">
        <v>36.360176500000001</v>
      </c>
      <c r="F84" s="2" t="s">
        <v>363</v>
      </c>
      <c r="G84" s="2" t="s">
        <v>28</v>
      </c>
      <c r="H84" s="2" t="s">
        <v>36</v>
      </c>
      <c r="I84" s="2" t="s">
        <v>37</v>
      </c>
      <c r="J84" s="2" t="s">
        <v>364</v>
      </c>
      <c r="K84" s="2" t="s">
        <v>22</v>
      </c>
      <c r="L84" s="2" t="s">
        <v>112</v>
      </c>
      <c r="M84" s="3">
        <v>0</v>
      </c>
      <c r="N84" s="3">
        <v>0</v>
      </c>
      <c r="O84" s="9" t="s">
        <v>24</v>
      </c>
      <c r="P84" s="3">
        <v>-0.27</v>
      </c>
    </row>
    <row r="85" spans="1:16" x14ac:dyDescent="0.3">
      <c r="A85" s="2" t="s">
        <v>365</v>
      </c>
      <c r="B85" s="2" t="s">
        <v>366</v>
      </c>
      <c r="C85" s="2" t="s">
        <v>18</v>
      </c>
      <c r="D85" s="5">
        <v>41.561848400000002</v>
      </c>
      <c r="E85" s="5">
        <v>35.913878199999999</v>
      </c>
      <c r="F85" s="3"/>
      <c r="G85" s="2" t="s">
        <v>259</v>
      </c>
      <c r="H85" s="2" t="s">
        <v>260</v>
      </c>
      <c r="I85" s="2" t="s">
        <v>260</v>
      </c>
      <c r="J85" s="2" t="s">
        <v>367</v>
      </c>
      <c r="K85" s="2" t="s">
        <v>22</v>
      </c>
      <c r="L85" s="2" t="s">
        <v>53</v>
      </c>
      <c r="M85" s="3">
        <v>0</v>
      </c>
      <c r="N85" s="3">
        <v>1</v>
      </c>
      <c r="O85" s="9" t="s">
        <v>24</v>
      </c>
      <c r="P85" s="3">
        <v>0</v>
      </c>
    </row>
    <row r="86" spans="1:16" x14ac:dyDescent="0.3">
      <c r="A86" s="2" t="s">
        <v>368</v>
      </c>
      <c r="B86" s="2" t="s">
        <v>369</v>
      </c>
      <c r="C86" s="2" t="s">
        <v>18</v>
      </c>
      <c r="D86" s="5">
        <v>42.002727999999998</v>
      </c>
      <c r="E86" s="5">
        <v>35.077629700000003</v>
      </c>
      <c r="F86" s="2" t="s">
        <v>370</v>
      </c>
      <c r="G86" s="2" t="s">
        <v>28</v>
      </c>
      <c r="H86" s="2" t="s">
        <v>36</v>
      </c>
      <c r="I86" s="2" t="s">
        <v>37</v>
      </c>
      <c r="J86" s="2" t="s">
        <v>371</v>
      </c>
      <c r="K86" s="2" t="s">
        <v>154</v>
      </c>
      <c r="L86" s="2" t="s">
        <v>155</v>
      </c>
      <c r="M86" s="3">
        <v>1</v>
      </c>
      <c r="N86" s="3">
        <v>1</v>
      </c>
      <c r="O86" s="9" t="s">
        <v>24</v>
      </c>
      <c r="P86" s="3">
        <v>0</v>
      </c>
    </row>
    <row r="87" spans="1:16" x14ac:dyDescent="0.3">
      <c r="A87" s="2" t="s">
        <v>372</v>
      </c>
      <c r="B87" s="2" t="s">
        <v>373</v>
      </c>
      <c r="C87" s="2" t="s">
        <v>18</v>
      </c>
      <c r="D87" s="5">
        <v>41.194785600000003</v>
      </c>
      <c r="E87" s="5">
        <v>36.481591799999997</v>
      </c>
      <c r="F87" s="2" t="s">
        <v>374</v>
      </c>
      <c r="G87" s="2" t="s">
        <v>28</v>
      </c>
      <c r="H87" s="2" t="s">
        <v>36</v>
      </c>
      <c r="I87" s="2" t="s">
        <v>37</v>
      </c>
      <c r="J87" s="2" t="s">
        <v>375</v>
      </c>
      <c r="K87" s="2" t="s">
        <v>22</v>
      </c>
      <c r="L87" s="2" t="s">
        <v>39</v>
      </c>
      <c r="M87" s="3">
        <v>1</v>
      </c>
      <c r="N87" s="3">
        <v>1</v>
      </c>
      <c r="O87" s="9" t="s">
        <v>54</v>
      </c>
      <c r="P87" s="3">
        <v>0</v>
      </c>
    </row>
    <row r="88" spans="1:16" x14ac:dyDescent="0.3">
      <c r="A88" s="2" t="s">
        <v>376</v>
      </c>
      <c r="B88" s="2" t="s">
        <v>377</v>
      </c>
      <c r="C88" s="2" t="s">
        <v>18</v>
      </c>
      <c r="D88" s="5">
        <v>41.566367399999997</v>
      </c>
      <c r="E88" s="5">
        <v>35.912162700000003</v>
      </c>
      <c r="F88" s="2" t="s">
        <v>378</v>
      </c>
      <c r="G88" s="2" t="s">
        <v>28</v>
      </c>
      <c r="H88" s="2" t="s">
        <v>36</v>
      </c>
      <c r="I88" s="2" t="s">
        <v>37</v>
      </c>
      <c r="J88" s="2" t="s">
        <v>379</v>
      </c>
      <c r="K88" s="2" t="s">
        <v>22</v>
      </c>
      <c r="L88" s="2" t="s">
        <v>53</v>
      </c>
      <c r="M88" s="3">
        <v>0</v>
      </c>
      <c r="N88" s="3">
        <v>1</v>
      </c>
      <c r="O88" s="9" t="s">
        <v>54</v>
      </c>
      <c r="P88" s="3">
        <v>0</v>
      </c>
    </row>
    <row r="89" spans="1:16" x14ac:dyDescent="0.3">
      <c r="A89" s="2" t="s">
        <v>380</v>
      </c>
      <c r="B89" s="2" t="s">
        <v>381</v>
      </c>
      <c r="C89" s="2" t="s">
        <v>18</v>
      </c>
      <c r="D89" s="5">
        <v>41.566695000000003</v>
      </c>
      <c r="E89" s="5">
        <v>35.894806699999997</v>
      </c>
      <c r="F89" s="2" t="s">
        <v>382</v>
      </c>
      <c r="G89" s="2" t="s">
        <v>28</v>
      </c>
      <c r="H89" s="2" t="s">
        <v>36</v>
      </c>
      <c r="I89" s="2" t="s">
        <v>30</v>
      </c>
      <c r="J89" s="2" t="s">
        <v>383</v>
      </c>
      <c r="K89" s="2" t="s">
        <v>22</v>
      </c>
      <c r="L89" s="2" t="s">
        <v>53</v>
      </c>
      <c r="M89" s="3">
        <v>0</v>
      </c>
      <c r="N89" s="3">
        <v>1</v>
      </c>
      <c r="O89" s="9" t="s">
        <v>24</v>
      </c>
      <c r="P89" s="3">
        <v>1497.64</v>
      </c>
    </row>
    <row r="90" spans="1:16" x14ac:dyDescent="0.3">
      <c r="A90" s="2" t="s">
        <v>384</v>
      </c>
      <c r="B90" s="2" t="s">
        <v>385</v>
      </c>
      <c r="C90" s="2" t="s">
        <v>18</v>
      </c>
      <c r="D90" s="5">
        <v>41.133318799999998</v>
      </c>
      <c r="E90" s="5">
        <v>37.284823600000003</v>
      </c>
      <c r="F90" s="2" t="s">
        <v>386</v>
      </c>
      <c r="G90" s="2" t="s">
        <v>348</v>
      </c>
      <c r="H90" s="2" t="s">
        <v>349</v>
      </c>
      <c r="I90" s="2" t="s">
        <v>37</v>
      </c>
      <c r="J90" s="2" t="s">
        <v>387</v>
      </c>
      <c r="K90" s="2" t="s">
        <v>63</v>
      </c>
      <c r="L90" s="2" t="s">
        <v>89</v>
      </c>
      <c r="M90" s="3">
        <v>1</v>
      </c>
      <c r="N90" s="3">
        <v>1</v>
      </c>
      <c r="O90" s="9" t="s">
        <v>54</v>
      </c>
      <c r="P90" s="3">
        <v>17658.3</v>
      </c>
    </row>
    <row r="91" spans="1:16" x14ac:dyDescent="0.3">
      <c r="A91" s="2" t="s">
        <v>388</v>
      </c>
      <c r="B91" s="2" t="s">
        <v>389</v>
      </c>
      <c r="C91" s="2" t="s">
        <v>18</v>
      </c>
      <c r="D91" s="5">
        <v>41.214790700000002</v>
      </c>
      <c r="E91" s="5">
        <v>36.457049599999998</v>
      </c>
      <c r="F91" s="3"/>
      <c r="G91" s="2" t="s">
        <v>259</v>
      </c>
      <c r="H91" s="2" t="s">
        <v>260</v>
      </c>
      <c r="I91" s="2" t="s">
        <v>260</v>
      </c>
      <c r="J91" s="2" t="s">
        <v>390</v>
      </c>
      <c r="K91" s="2" t="s">
        <v>22</v>
      </c>
      <c r="L91" s="2" t="s">
        <v>39</v>
      </c>
      <c r="M91" s="3">
        <v>1</v>
      </c>
      <c r="N91" s="3">
        <v>1</v>
      </c>
      <c r="O91" s="9" t="s">
        <v>24</v>
      </c>
      <c r="P91" s="3">
        <v>0</v>
      </c>
    </row>
    <row r="92" spans="1:16" x14ac:dyDescent="0.3">
      <c r="A92" s="2" t="s">
        <v>391</v>
      </c>
      <c r="B92" s="2" t="s">
        <v>392</v>
      </c>
      <c r="C92" s="2" t="s">
        <v>18</v>
      </c>
      <c r="D92" s="5">
        <v>41.495052399999999</v>
      </c>
      <c r="E92" s="5">
        <v>36.076295799999997</v>
      </c>
      <c r="F92" s="2" t="s">
        <v>54</v>
      </c>
      <c r="G92" s="2" t="s">
        <v>259</v>
      </c>
      <c r="H92" s="2" t="s">
        <v>260</v>
      </c>
      <c r="I92" s="2" t="s">
        <v>260</v>
      </c>
      <c r="J92" s="2" t="s">
        <v>393</v>
      </c>
      <c r="K92" s="2" t="s">
        <v>22</v>
      </c>
      <c r="L92" s="2" t="s">
        <v>394</v>
      </c>
      <c r="M92" s="3">
        <v>1</v>
      </c>
      <c r="N92" s="3">
        <v>1</v>
      </c>
      <c r="O92" s="9" t="s">
        <v>24</v>
      </c>
      <c r="P92" s="3">
        <v>0</v>
      </c>
    </row>
    <row r="93" spans="1:16" x14ac:dyDescent="0.3">
      <c r="A93" s="2" t="s">
        <v>395</v>
      </c>
      <c r="B93" s="2" t="s">
        <v>396</v>
      </c>
      <c r="C93" s="2" t="s">
        <v>18</v>
      </c>
      <c r="D93" s="5">
        <v>41.276278300000001</v>
      </c>
      <c r="E93" s="5">
        <v>36.352323300000002</v>
      </c>
      <c r="F93" s="3"/>
      <c r="G93" s="2" t="s">
        <v>19</v>
      </c>
      <c r="H93" s="2" t="s">
        <v>20</v>
      </c>
      <c r="I93" s="2" t="s">
        <v>19</v>
      </c>
      <c r="J93" s="2" t="s">
        <v>397</v>
      </c>
      <c r="K93" s="2" t="s">
        <v>22</v>
      </c>
      <c r="L93" s="2" t="s">
        <v>112</v>
      </c>
      <c r="M93" s="3">
        <v>1</v>
      </c>
      <c r="N93" s="3">
        <v>1</v>
      </c>
      <c r="O93" s="9" t="s">
        <v>24</v>
      </c>
      <c r="P93" s="3">
        <v>0</v>
      </c>
    </row>
    <row r="94" spans="1:16" x14ac:dyDescent="0.3">
      <c r="A94" s="2" t="s">
        <v>398</v>
      </c>
      <c r="B94" s="2" t="s">
        <v>399</v>
      </c>
      <c r="C94" s="2" t="s">
        <v>18</v>
      </c>
      <c r="D94" s="5">
        <v>41.152322400000003</v>
      </c>
      <c r="E94" s="5">
        <v>35.163245000000003</v>
      </c>
      <c r="F94" s="2" t="s">
        <v>400</v>
      </c>
      <c r="G94" s="2" t="s">
        <v>28</v>
      </c>
      <c r="H94" s="2" t="s">
        <v>36</v>
      </c>
      <c r="I94" s="2" t="s">
        <v>37</v>
      </c>
      <c r="J94" s="2" t="s">
        <v>401</v>
      </c>
      <c r="K94" s="2" t="s">
        <v>22</v>
      </c>
      <c r="L94" s="2" t="s">
        <v>164</v>
      </c>
      <c r="M94" s="3">
        <v>1</v>
      </c>
      <c r="N94" s="3">
        <v>1</v>
      </c>
      <c r="O94" s="9" t="s">
        <v>24</v>
      </c>
      <c r="P94" s="3">
        <v>-205.13</v>
      </c>
    </row>
    <row r="95" spans="1:16" x14ac:dyDescent="0.3">
      <c r="A95" s="2" t="s">
        <v>402</v>
      </c>
      <c r="B95" s="2" t="s">
        <v>403</v>
      </c>
      <c r="C95" s="2" t="s">
        <v>18</v>
      </c>
      <c r="D95" s="5">
        <v>41.135759</v>
      </c>
      <c r="E95" s="5">
        <v>35.135654700000003</v>
      </c>
      <c r="F95" s="2" t="s">
        <v>404</v>
      </c>
      <c r="G95" s="2" t="s">
        <v>28</v>
      </c>
      <c r="H95" s="2" t="s">
        <v>29</v>
      </c>
      <c r="I95" s="2" t="s">
        <v>30</v>
      </c>
      <c r="J95" s="2" t="s">
        <v>405</v>
      </c>
      <c r="K95" s="2" t="s">
        <v>22</v>
      </c>
      <c r="L95" s="2" t="s">
        <v>164</v>
      </c>
      <c r="M95" s="3">
        <v>1</v>
      </c>
      <c r="N95" s="3">
        <v>1</v>
      </c>
      <c r="O95" s="9" t="s">
        <v>24</v>
      </c>
      <c r="P95" s="3">
        <v>0</v>
      </c>
    </row>
    <row r="96" spans="1:16" x14ac:dyDescent="0.3">
      <c r="A96" s="2" t="s">
        <v>406</v>
      </c>
      <c r="B96" s="2" t="s">
        <v>407</v>
      </c>
      <c r="C96" s="2" t="s">
        <v>18</v>
      </c>
      <c r="D96" s="5">
        <v>41.186500600000002</v>
      </c>
      <c r="E96" s="5">
        <v>35.8756561</v>
      </c>
      <c r="F96" s="2" t="s">
        <v>408</v>
      </c>
      <c r="G96" s="2" t="s">
        <v>28</v>
      </c>
      <c r="H96" s="2" t="s">
        <v>318</v>
      </c>
      <c r="I96" s="2" t="s">
        <v>409</v>
      </c>
      <c r="J96" s="2" t="s">
        <v>410</v>
      </c>
      <c r="K96" s="2" t="s">
        <v>22</v>
      </c>
      <c r="L96" s="2" t="s">
        <v>193</v>
      </c>
      <c r="M96" s="3">
        <v>2</v>
      </c>
      <c r="N96" s="3">
        <v>1</v>
      </c>
      <c r="O96" s="9" t="s">
        <v>24</v>
      </c>
      <c r="P96" s="3">
        <v>0</v>
      </c>
    </row>
    <row r="97" spans="1:16" x14ac:dyDescent="0.3">
      <c r="A97" s="2" t="s">
        <v>411</v>
      </c>
      <c r="B97" s="2" t="s">
        <v>412</v>
      </c>
      <c r="C97" s="2" t="s">
        <v>18</v>
      </c>
      <c r="D97" s="5">
        <v>41.142646499999998</v>
      </c>
      <c r="E97" s="5">
        <v>35.458931900000003</v>
      </c>
      <c r="F97" s="2" t="s">
        <v>413</v>
      </c>
      <c r="G97" s="2" t="s">
        <v>221</v>
      </c>
      <c r="H97" s="2" t="s">
        <v>222</v>
      </c>
      <c r="I97" s="2" t="s">
        <v>222</v>
      </c>
      <c r="J97" s="2" t="s">
        <v>414</v>
      </c>
      <c r="K97" s="2" t="s">
        <v>22</v>
      </c>
      <c r="L97" s="2" t="s">
        <v>164</v>
      </c>
      <c r="M97" s="3">
        <v>0</v>
      </c>
      <c r="N97" s="3">
        <v>1</v>
      </c>
      <c r="O97" s="9" t="s">
        <v>24</v>
      </c>
      <c r="P97" s="3">
        <v>-0.01</v>
      </c>
    </row>
    <row r="98" spans="1:16" x14ac:dyDescent="0.3">
      <c r="A98" s="2" t="s">
        <v>415</v>
      </c>
      <c r="B98" s="2" t="s">
        <v>416</v>
      </c>
      <c r="C98" s="2" t="s">
        <v>18</v>
      </c>
      <c r="D98" s="5">
        <v>41.146254999999996</v>
      </c>
      <c r="E98" s="5">
        <v>35.161923299999998</v>
      </c>
      <c r="F98" s="2" t="s">
        <v>417</v>
      </c>
      <c r="G98" s="2" t="s">
        <v>28</v>
      </c>
      <c r="H98" s="2" t="s">
        <v>29</v>
      </c>
      <c r="I98" s="2" t="s">
        <v>30</v>
      </c>
      <c r="J98" s="2" t="s">
        <v>418</v>
      </c>
      <c r="K98" s="2" t="s">
        <v>22</v>
      </c>
      <c r="L98" s="2" t="s">
        <v>164</v>
      </c>
      <c r="M98" s="3">
        <v>0</v>
      </c>
      <c r="N98" s="3">
        <v>0</v>
      </c>
      <c r="O98" s="9" t="s">
        <v>24</v>
      </c>
      <c r="P98" s="3">
        <v>0</v>
      </c>
    </row>
    <row r="99" spans="1:16" x14ac:dyDescent="0.3">
      <c r="A99" s="2" t="s">
        <v>419</v>
      </c>
      <c r="B99" s="2" t="s">
        <v>420</v>
      </c>
      <c r="C99" s="2" t="s">
        <v>18</v>
      </c>
      <c r="D99" s="5">
        <v>41.5709929</v>
      </c>
      <c r="E99" s="5">
        <v>35.898447500000003</v>
      </c>
      <c r="F99" s="2" t="s">
        <v>421</v>
      </c>
      <c r="G99" s="2" t="s">
        <v>28</v>
      </c>
      <c r="H99" s="2" t="s">
        <v>29</v>
      </c>
      <c r="I99" s="2" t="s">
        <v>30</v>
      </c>
      <c r="J99" s="2" t="s">
        <v>422</v>
      </c>
      <c r="K99" s="2" t="s">
        <v>22</v>
      </c>
      <c r="L99" s="2" t="s">
        <v>53</v>
      </c>
      <c r="M99" s="3">
        <v>2</v>
      </c>
      <c r="N99" s="3">
        <v>1</v>
      </c>
      <c r="O99" s="9" t="s">
        <v>24</v>
      </c>
      <c r="P99" s="3">
        <v>-3246.66</v>
      </c>
    </row>
    <row r="100" spans="1:16" x14ac:dyDescent="0.3">
      <c r="A100" s="2" t="s">
        <v>423</v>
      </c>
      <c r="B100" s="2" t="s">
        <v>424</v>
      </c>
      <c r="C100" s="2" t="s">
        <v>18</v>
      </c>
      <c r="D100" s="5">
        <v>41.191870000000002</v>
      </c>
      <c r="E100" s="5">
        <v>36.720821700000002</v>
      </c>
      <c r="F100" s="2" t="s">
        <v>425</v>
      </c>
      <c r="G100" s="2" t="s">
        <v>28</v>
      </c>
      <c r="H100" s="2" t="s">
        <v>36</v>
      </c>
      <c r="I100" s="2" t="s">
        <v>37</v>
      </c>
      <c r="J100" s="2" t="s">
        <v>426</v>
      </c>
      <c r="K100" s="2" t="s">
        <v>22</v>
      </c>
      <c r="L100" s="2" t="s">
        <v>44</v>
      </c>
      <c r="M100" s="3">
        <v>1</v>
      </c>
      <c r="N100" s="3">
        <v>1</v>
      </c>
      <c r="O100" s="9" t="s">
        <v>24</v>
      </c>
      <c r="P100" s="3">
        <v>-704.88</v>
      </c>
    </row>
    <row r="101" spans="1:16" x14ac:dyDescent="0.3">
      <c r="A101" s="2" t="s">
        <v>427</v>
      </c>
      <c r="B101" s="2" t="s">
        <v>428</v>
      </c>
      <c r="C101" s="2" t="s">
        <v>18</v>
      </c>
      <c r="D101" s="5">
        <v>41.280847700000002</v>
      </c>
      <c r="E101" s="5">
        <v>36.330841300000003</v>
      </c>
      <c r="F101" s="2" t="s">
        <v>429</v>
      </c>
      <c r="G101" s="2" t="s">
        <v>28</v>
      </c>
      <c r="H101" s="2" t="s">
        <v>135</v>
      </c>
      <c r="I101" s="2" t="s">
        <v>135</v>
      </c>
      <c r="J101" s="2" t="s">
        <v>430</v>
      </c>
      <c r="K101" s="2" t="s">
        <v>22</v>
      </c>
      <c r="L101" s="2" t="s">
        <v>32</v>
      </c>
      <c r="M101" s="3">
        <v>1</v>
      </c>
      <c r="N101" s="3">
        <v>1</v>
      </c>
      <c r="O101" s="9" t="s">
        <v>24</v>
      </c>
      <c r="P101" s="3">
        <v>-0.01</v>
      </c>
    </row>
    <row r="102" spans="1:16" x14ac:dyDescent="0.3">
      <c r="A102" s="2" t="s">
        <v>431</v>
      </c>
      <c r="B102" s="2" t="s">
        <v>432</v>
      </c>
      <c r="C102" s="2" t="s">
        <v>18</v>
      </c>
      <c r="D102" s="5">
        <v>41.022395099999997</v>
      </c>
      <c r="E102" s="5">
        <v>36.218262199999998</v>
      </c>
      <c r="F102" s="2" t="s">
        <v>433</v>
      </c>
      <c r="G102" s="2" t="s">
        <v>28</v>
      </c>
      <c r="H102" s="2" t="s">
        <v>29</v>
      </c>
      <c r="I102" s="2" t="s">
        <v>30</v>
      </c>
      <c r="J102" s="2" t="s">
        <v>434</v>
      </c>
      <c r="K102" s="2" t="s">
        <v>22</v>
      </c>
      <c r="L102" s="2" t="s">
        <v>435</v>
      </c>
      <c r="M102" s="3">
        <v>1</v>
      </c>
      <c r="N102" s="3">
        <v>1</v>
      </c>
      <c r="O102" s="9" t="s">
        <v>24</v>
      </c>
      <c r="P102" s="3">
        <v>0.06</v>
      </c>
    </row>
    <row r="103" spans="1:16" x14ac:dyDescent="0.3">
      <c r="A103" s="2" t="s">
        <v>436</v>
      </c>
      <c r="B103" s="2" t="s">
        <v>437</v>
      </c>
      <c r="C103" s="2" t="s">
        <v>18</v>
      </c>
      <c r="D103" s="5">
        <v>42.022478300000003</v>
      </c>
      <c r="E103" s="5">
        <v>35.134529999999998</v>
      </c>
      <c r="F103" s="3"/>
      <c r="G103" s="2" t="s">
        <v>259</v>
      </c>
      <c r="H103" s="2" t="s">
        <v>260</v>
      </c>
      <c r="I103" s="2" t="s">
        <v>260</v>
      </c>
      <c r="J103" s="2" t="s">
        <v>438</v>
      </c>
      <c r="K103" s="2" t="s">
        <v>154</v>
      </c>
      <c r="L103" s="2" t="s">
        <v>155</v>
      </c>
      <c r="M103" s="3">
        <v>1</v>
      </c>
      <c r="N103" s="3">
        <v>1</v>
      </c>
      <c r="O103" s="9" t="s">
        <v>24</v>
      </c>
      <c r="P103" s="3">
        <v>0</v>
      </c>
    </row>
    <row r="104" spans="1:16" x14ac:dyDescent="0.3">
      <c r="A104" s="2" t="s">
        <v>439</v>
      </c>
      <c r="B104" s="2" t="s">
        <v>440</v>
      </c>
      <c r="C104" s="2" t="s">
        <v>18</v>
      </c>
      <c r="D104" s="5">
        <v>41.141023099999998</v>
      </c>
      <c r="E104" s="5">
        <v>35.457336300000001</v>
      </c>
      <c r="F104" s="2" t="s">
        <v>441</v>
      </c>
      <c r="G104" s="2" t="s">
        <v>221</v>
      </c>
      <c r="H104" s="2" t="s">
        <v>222</v>
      </c>
      <c r="I104" s="2" t="s">
        <v>222</v>
      </c>
      <c r="J104" s="2" t="s">
        <v>442</v>
      </c>
      <c r="K104" s="2" t="s">
        <v>22</v>
      </c>
      <c r="L104" s="2" t="s">
        <v>164</v>
      </c>
      <c r="M104" s="3">
        <v>0</v>
      </c>
      <c r="N104" s="3">
        <v>0</v>
      </c>
      <c r="O104" s="9" t="s">
        <v>24</v>
      </c>
      <c r="P104" s="3">
        <v>0</v>
      </c>
    </row>
    <row r="105" spans="1:16" x14ac:dyDescent="0.3">
      <c r="A105" s="2" t="s">
        <v>443</v>
      </c>
      <c r="B105" s="2" t="s">
        <v>444</v>
      </c>
      <c r="C105" s="2" t="s">
        <v>18</v>
      </c>
      <c r="D105" s="5">
        <v>41.059225599999998</v>
      </c>
      <c r="E105" s="5">
        <v>35.403112299999997</v>
      </c>
      <c r="F105" s="2" t="s">
        <v>445</v>
      </c>
      <c r="G105" s="2" t="s">
        <v>28</v>
      </c>
      <c r="H105" s="2" t="s">
        <v>29</v>
      </c>
      <c r="I105" s="2" t="s">
        <v>30</v>
      </c>
      <c r="J105" s="2" t="s">
        <v>446</v>
      </c>
      <c r="K105" s="2" t="s">
        <v>22</v>
      </c>
      <c r="L105" s="2" t="s">
        <v>164</v>
      </c>
      <c r="M105" s="3">
        <v>1</v>
      </c>
      <c r="N105" s="3">
        <v>1</v>
      </c>
      <c r="O105" s="9" t="s">
        <v>24</v>
      </c>
      <c r="P105" s="3">
        <v>-1.7</v>
      </c>
    </row>
    <row r="106" spans="1:16" x14ac:dyDescent="0.3">
      <c r="A106" s="2" t="s">
        <v>447</v>
      </c>
      <c r="B106" s="2" t="s">
        <v>448</v>
      </c>
      <c r="C106" s="2" t="s">
        <v>18</v>
      </c>
      <c r="D106" s="5">
        <v>41.138603240423002</v>
      </c>
      <c r="E106" s="5">
        <v>35.465724652452003</v>
      </c>
      <c r="F106" s="2" t="s">
        <v>243</v>
      </c>
      <c r="G106" s="2" t="s">
        <v>221</v>
      </c>
      <c r="H106" s="2" t="s">
        <v>222</v>
      </c>
      <c r="I106" s="2" t="s">
        <v>222</v>
      </c>
      <c r="J106" s="2" t="s">
        <v>449</v>
      </c>
      <c r="K106" s="2" t="s">
        <v>22</v>
      </c>
      <c r="L106" s="2" t="s">
        <v>164</v>
      </c>
      <c r="M106" s="3">
        <v>0</v>
      </c>
      <c r="N106" s="3">
        <v>0</v>
      </c>
      <c r="O106" s="9" t="s">
        <v>24</v>
      </c>
      <c r="P106" s="3">
        <v>0</v>
      </c>
    </row>
    <row r="107" spans="1:16" x14ac:dyDescent="0.3">
      <c r="A107" s="2" t="s">
        <v>450</v>
      </c>
      <c r="B107" s="2" t="s">
        <v>451</v>
      </c>
      <c r="C107" s="2" t="s">
        <v>18</v>
      </c>
      <c r="D107" s="5">
        <v>41.106704000000001</v>
      </c>
      <c r="E107" s="5">
        <v>35.131582799999997</v>
      </c>
      <c r="F107" s="2" t="s">
        <v>452</v>
      </c>
      <c r="G107" s="2" t="s">
        <v>28</v>
      </c>
      <c r="H107" s="2" t="s">
        <v>36</v>
      </c>
      <c r="I107" s="2" t="s">
        <v>37</v>
      </c>
      <c r="J107" s="2" t="s">
        <v>453</v>
      </c>
      <c r="K107" s="2" t="s">
        <v>22</v>
      </c>
      <c r="L107" s="2" t="s">
        <v>164</v>
      </c>
      <c r="M107" s="3">
        <v>0</v>
      </c>
      <c r="N107" s="3">
        <v>0</v>
      </c>
      <c r="O107" s="9" t="s">
        <v>24</v>
      </c>
      <c r="P107" s="3">
        <v>0</v>
      </c>
    </row>
    <row r="108" spans="1:16" x14ac:dyDescent="0.3">
      <c r="A108" s="2" t="s">
        <v>454</v>
      </c>
      <c r="B108" s="2" t="s">
        <v>455</v>
      </c>
      <c r="C108" s="2" t="s">
        <v>18</v>
      </c>
      <c r="D108" s="5">
        <v>41.141936800000003</v>
      </c>
      <c r="E108" s="5">
        <v>37.276651800000003</v>
      </c>
      <c r="F108" s="2" t="s">
        <v>456</v>
      </c>
      <c r="G108" s="2" t="s">
        <v>348</v>
      </c>
      <c r="H108" s="2" t="s">
        <v>349</v>
      </c>
      <c r="I108" s="2" t="s">
        <v>37</v>
      </c>
      <c r="J108" s="2" t="s">
        <v>457</v>
      </c>
      <c r="K108" s="2" t="s">
        <v>63</v>
      </c>
      <c r="L108" s="2" t="s">
        <v>89</v>
      </c>
      <c r="M108" s="3">
        <v>1</v>
      </c>
      <c r="N108" s="3">
        <v>1</v>
      </c>
      <c r="O108" s="9" t="s">
        <v>54</v>
      </c>
      <c r="P108" s="3">
        <v>-7008.48</v>
      </c>
    </row>
    <row r="109" spans="1:16" x14ac:dyDescent="0.3">
      <c r="A109" s="2" t="s">
        <v>458</v>
      </c>
      <c r="B109" s="2" t="s">
        <v>459</v>
      </c>
      <c r="C109" s="2" t="s">
        <v>18</v>
      </c>
      <c r="D109" s="5">
        <v>41.198628999999997</v>
      </c>
      <c r="E109" s="5">
        <v>36.718207</v>
      </c>
      <c r="F109" s="3"/>
      <c r="G109" s="2" t="s">
        <v>259</v>
      </c>
      <c r="H109" s="2" t="s">
        <v>260</v>
      </c>
      <c r="I109" s="2" t="s">
        <v>260</v>
      </c>
      <c r="J109" s="2" t="s">
        <v>460</v>
      </c>
      <c r="K109" s="2" t="s">
        <v>22</v>
      </c>
      <c r="L109" s="2" t="s">
        <v>44</v>
      </c>
      <c r="M109" s="3">
        <v>1</v>
      </c>
      <c r="N109" s="3">
        <v>1</v>
      </c>
      <c r="O109" s="9" t="s">
        <v>24</v>
      </c>
      <c r="P109" s="3">
        <v>0</v>
      </c>
    </row>
    <row r="110" spans="1:16" x14ac:dyDescent="0.3">
      <c r="A110" s="2" t="s">
        <v>461</v>
      </c>
      <c r="B110" s="2" t="s">
        <v>462</v>
      </c>
      <c r="C110" s="2" t="s">
        <v>18</v>
      </c>
      <c r="D110" s="5">
        <v>41.343298699999998</v>
      </c>
      <c r="E110" s="5">
        <v>36.244708799999998</v>
      </c>
      <c r="F110" s="3"/>
      <c r="G110" s="2" t="s">
        <v>259</v>
      </c>
      <c r="H110" s="2" t="s">
        <v>260</v>
      </c>
      <c r="I110" s="2" t="s">
        <v>260</v>
      </c>
      <c r="J110" s="2" t="s">
        <v>463</v>
      </c>
      <c r="K110" s="2" t="s">
        <v>22</v>
      </c>
      <c r="L110" s="2" t="s">
        <v>112</v>
      </c>
      <c r="M110" s="3">
        <v>1</v>
      </c>
      <c r="N110" s="3">
        <v>1</v>
      </c>
      <c r="O110" s="9" t="s">
        <v>24</v>
      </c>
      <c r="P110" s="3">
        <v>0</v>
      </c>
    </row>
    <row r="111" spans="1:16" x14ac:dyDescent="0.3">
      <c r="A111" s="2" t="s">
        <v>464</v>
      </c>
      <c r="B111" s="2" t="s">
        <v>465</v>
      </c>
      <c r="C111" s="2" t="s">
        <v>18</v>
      </c>
      <c r="D111" s="5">
        <v>41.566491999999997</v>
      </c>
      <c r="E111" s="5">
        <v>35.911867100000002</v>
      </c>
      <c r="F111" s="3"/>
      <c r="G111" s="2" t="s">
        <v>259</v>
      </c>
      <c r="H111" s="2" t="s">
        <v>260</v>
      </c>
      <c r="I111" s="2" t="s">
        <v>260</v>
      </c>
      <c r="J111" s="2" t="s">
        <v>466</v>
      </c>
      <c r="K111" s="2" t="s">
        <v>22</v>
      </c>
      <c r="L111" s="2" t="s">
        <v>53</v>
      </c>
      <c r="M111" s="3">
        <v>1</v>
      </c>
      <c r="N111" s="3">
        <v>1</v>
      </c>
      <c r="O111" s="9" t="s">
        <v>24</v>
      </c>
      <c r="P111" s="3">
        <v>0</v>
      </c>
    </row>
    <row r="112" spans="1:16" x14ac:dyDescent="0.3">
      <c r="A112" s="2" t="s">
        <v>467</v>
      </c>
      <c r="B112" s="2" t="s">
        <v>468</v>
      </c>
      <c r="C112" s="2" t="s">
        <v>18</v>
      </c>
      <c r="D112" s="5">
        <v>41.325966225400002</v>
      </c>
      <c r="E112" s="5">
        <v>36.277396807800002</v>
      </c>
      <c r="F112" s="3"/>
      <c r="G112" s="2" t="s">
        <v>259</v>
      </c>
      <c r="H112" s="2" t="s">
        <v>260</v>
      </c>
      <c r="I112" s="2" t="s">
        <v>260</v>
      </c>
      <c r="J112" s="2" t="s">
        <v>469</v>
      </c>
      <c r="K112" s="2" t="s">
        <v>22</v>
      </c>
      <c r="L112" s="2" t="s">
        <v>112</v>
      </c>
      <c r="M112" s="3">
        <v>1</v>
      </c>
      <c r="N112" s="3">
        <v>1</v>
      </c>
      <c r="O112" s="9" t="s">
        <v>24</v>
      </c>
      <c r="P112" s="3">
        <v>0</v>
      </c>
    </row>
    <row r="113" spans="1:16" x14ac:dyDescent="0.3">
      <c r="A113" s="2" t="s">
        <v>470</v>
      </c>
      <c r="B113" s="2" t="s">
        <v>471</v>
      </c>
      <c r="C113" s="2" t="s">
        <v>18</v>
      </c>
      <c r="D113" s="5">
        <v>41.806433499999997</v>
      </c>
      <c r="E113" s="5">
        <v>35.189318800000002</v>
      </c>
      <c r="F113" s="3"/>
      <c r="G113" s="2" t="s">
        <v>259</v>
      </c>
      <c r="H113" s="2" t="s">
        <v>260</v>
      </c>
      <c r="I113" s="2" t="s">
        <v>260</v>
      </c>
      <c r="J113" s="2" t="s">
        <v>472</v>
      </c>
      <c r="K113" s="2" t="s">
        <v>154</v>
      </c>
      <c r="L113" s="2" t="s">
        <v>302</v>
      </c>
      <c r="M113" s="3">
        <v>1</v>
      </c>
      <c r="N113" s="3">
        <v>1</v>
      </c>
      <c r="O113" s="9" t="s">
        <v>24</v>
      </c>
      <c r="P113" s="3">
        <v>0</v>
      </c>
    </row>
    <row r="114" spans="1:16" x14ac:dyDescent="0.3">
      <c r="A114" s="2" t="s">
        <v>473</v>
      </c>
      <c r="B114" s="2" t="s">
        <v>474</v>
      </c>
      <c r="C114" s="2" t="s">
        <v>18</v>
      </c>
      <c r="D114" s="5">
        <v>41.081955999999998</v>
      </c>
      <c r="E114" s="5">
        <v>36.825377600000003</v>
      </c>
      <c r="F114" s="3"/>
      <c r="G114" s="2" t="s">
        <v>259</v>
      </c>
      <c r="H114" s="2" t="s">
        <v>260</v>
      </c>
      <c r="I114" s="2" t="s">
        <v>260</v>
      </c>
      <c r="J114" s="2" t="s">
        <v>475</v>
      </c>
      <c r="K114" s="2" t="s">
        <v>22</v>
      </c>
      <c r="L114" s="2" t="s">
        <v>476</v>
      </c>
      <c r="M114" s="3">
        <v>1</v>
      </c>
      <c r="N114" s="3">
        <v>1</v>
      </c>
      <c r="O114" s="9" t="s">
        <v>24</v>
      </c>
      <c r="P114" s="3">
        <v>0</v>
      </c>
    </row>
    <row r="115" spans="1:16" x14ac:dyDescent="0.3">
      <c r="A115" s="2" t="s">
        <v>477</v>
      </c>
      <c r="B115" s="2" t="s">
        <v>478</v>
      </c>
      <c r="C115" s="2" t="s">
        <v>18</v>
      </c>
      <c r="D115" s="5">
        <v>41.283636399999999</v>
      </c>
      <c r="E115" s="5">
        <v>36.328183000000003</v>
      </c>
      <c r="F115" s="3"/>
      <c r="G115" s="2" t="s">
        <v>259</v>
      </c>
      <c r="H115" s="2" t="s">
        <v>260</v>
      </c>
      <c r="I115" s="2" t="s">
        <v>260</v>
      </c>
      <c r="J115" s="2" t="s">
        <v>479</v>
      </c>
      <c r="K115" s="2" t="s">
        <v>22</v>
      </c>
      <c r="L115" s="2" t="s">
        <v>112</v>
      </c>
      <c r="M115" s="3">
        <v>1</v>
      </c>
      <c r="N115" s="3">
        <v>1</v>
      </c>
      <c r="O115" s="9" t="s">
        <v>24</v>
      </c>
      <c r="P115" s="3">
        <v>0</v>
      </c>
    </row>
    <row r="116" spans="1:16" x14ac:dyDescent="0.3">
      <c r="A116" s="2" t="s">
        <v>480</v>
      </c>
      <c r="B116" s="2" t="s">
        <v>481</v>
      </c>
      <c r="C116" s="2" t="s">
        <v>18</v>
      </c>
      <c r="D116" s="5">
        <v>41.288732899999999</v>
      </c>
      <c r="E116" s="5">
        <v>36.325661199999999</v>
      </c>
      <c r="F116" s="3"/>
      <c r="G116" s="2" t="s">
        <v>259</v>
      </c>
      <c r="H116" s="2" t="s">
        <v>260</v>
      </c>
      <c r="I116" s="2" t="s">
        <v>260</v>
      </c>
      <c r="J116" s="2" t="s">
        <v>482</v>
      </c>
      <c r="K116" s="2" t="s">
        <v>22</v>
      </c>
      <c r="L116" s="2" t="s">
        <v>112</v>
      </c>
      <c r="M116" s="3">
        <v>1</v>
      </c>
      <c r="N116" s="3">
        <v>1</v>
      </c>
      <c r="O116" s="9" t="s">
        <v>24</v>
      </c>
      <c r="P116" s="3">
        <v>0</v>
      </c>
    </row>
    <row r="117" spans="1:16" x14ac:dyDescent="0.3">
      <c r="A117" s="2" t="s">
        <v>483</v>
      </c>
      <c r="B117" s="2" t="s">
        <v>484</v>
      </c>
      <c r="C117" s="2" t="s">
        <v>18</v>
      </c>
      <c r="D117" s="5">
        <v>41.14378</v>
      </c>
      <c r="E117" s="5">
        <v>37.238338300000002</v>
      </c>
      <c r="F117" s="3"/>
      <c r="G117" s="2" t="s">
        <v>259</v>
      </c>
      <c r="H117" s="2" t="s">
        <v>260</v>
      </c>
      <c r="I117" s="2" t="s">
        <v>260</v>
      </c>
      <c r="J117" s="2" t="s">
        <v>485</v>
      </c>
      <c r="K117" s="2" t="s">
        <v>63</v>
      </c>
      <c r="L117" s="2" t="s">
        <v>89</v>
      </c>
      <c r="M117" s="3">
        <v>1</v>
      </c>
      <c r="N117" s="3">
        <v>1</v>
      </c>
      <c r="O117" s="9" t="s">
        <v>24</v>
      </c>
      <c r="P117" s="3">
        <v>0</v>
      </c>
    </row>
    <row r="118" spans="1:16" x14ac:dyDescent="0.3">
      <c r="A118" s="2" t="s">
        <v>486</v>
      </c>
      <c r="B118" s="2" t="s">
        <v>487</v>
      </c>
      <c r="C118" s="2" t="s">
        <v>18</v>
      </c>
      <c r="D118" s="5">
        <v>41.270167399999998</v>
      </c>
      <c r="E118" s="5">
        <v>36.333065099999999</v>
      </c>
      <c r="F118" s="3"/>
      <c r="G118" s="2" t="s">
        <v>19</v>
      </c>
      <c r="H118" s="2" t="s">
        <v>20</v>
      </c>
      <c r="I118" s="2" t="s">
        <v>19</v>
      </c>
      <c r="J118" s="2" t="s">
        <v>488</v>
      </c>
      <c r="K118" s="2" t="s">
        <v>22</v>
      </c>
      <c r="L118" s="2" t="s">
        <v>112</v>
      </c>
      <c r="M118" s="3">
        <v>0</v>
      </c>
      <c r="N118" s="3">
        <v>1</v>
      </c>
      <c r="O118" s="9" t="s">
        <v>24</v>
      </c>
      <c r="P118" s="3">
        <v>0</v>
      </c>
    </row>
    <row r="119" spans="1:16" x14ac:dyDescent="0.3">
      <c r="A119" s="2" t="s">
        <v>489</v>
      </c>
      <c r="B119" s="2" t="s">
        <v>490</v>
      </c>
      <c r="C119" s="2" t="s">
        <v>18</v>
      </c>
      <c r="D119" s="5">
        <v>41.805404299999999</v>
      </c>
      <c r="E119" s="5">
        <v>35.195709999999998</v>
      </c>
      <c r="F119" s="2" t="s">
        <v>491</v>
      </c>
      <c r="G119" s="2" t="s">
        <v>28</v>
      </c>
      <c r="H119" s="2" t="s">
        <v>36</v>
      </c>
      <c r="I119" s="2" t="s">
        <v>37</v>
      </c>
      <c r="J119" s="2" t="s">
        <v>492</v>
      </c>
      <c r="K119" s="2" t="s">
        <v>154</v>
      </c>
      <c r="L119" s="2" t="s">
        <v>302</v>
      </c>
      <c r="M119" s="3">
        <v>1</v>
      </c>
      <c r="N119" s="3">
        <v>1</v>
      </c>
      <c r="O119" s="9" t="s">
        <v>24</v>
      </c>
      <c r="P119" s="3">
        <v>0</v>
      </c>
    </row>
    <row r="120" spans="1:16" x14ac:dyDescent="0.3">
      <c r="A120" s="2" t="s">
        <v>493</v>
      </c>
      <c r="B120" s="2" t="s">
        <v>494</v>
      </c>
      <c r="C120" s="2" t="s">
        <v>18</v>
      </c>
      <c r="D120" s="5">
        <v>41.337744299999997</v>
      </c>
      <c r="E120" s="5">
        <v>36.248941600000002</v>
      </c>
      <c r="F120" s="3"/>
      <c r="G120" s="2" t="s">
        <v>259</v>
      </c>
      <c r="H120" s="2" t="s">
        <v>260</v>
      </c>
      <c r="I120" s="2" t="s">
        <v>260</v>
      </c>
      <c r="J120" s="2" t="s">
        <v>495</v>
      </c>
      <c r="K120" s="2" t="s">
        <v>22</v>
      </c>
      <c r="L120" s="2" t="s">
        <v>23</v>
      </c>
      <c r="M120" s="3">
        <v>1</v>
      </c>
      <c r="N120" s="3">
        <v>1</v>
      </c>
      <c r="O120" s="9" t="s">
        <v>24</v>
      </c>
      <c r="P120" s="3">
        <v>0</v>
      </c>
    </row>
    <row r="121" spans="1:16" x14ac:dyDescent="0.3">
      <c r="A121" s="2" t="s">
        <v>496</v>
      </c>
      <c r="B121" s="2" t="s">
        <v>497</v>
      </c>
      <c r="C121" s="2" t="s">
        <v>18</v>
      </c>
      <c r="D121" s="5">
        <v>41.340327799999997</v>
      </c>
      <c r="E121" s="5">
        <v>36.238668599999997</v>
      </c>
      <c r="F121" s="2" t="s">
        <v>498</v>
      </c>
      <c r="G121" s="2" t="s">
        <v>28</v>
      </c>
      <c r="H121" s="2" t="s">
        <v>29</v>
      </c>
      <c r="I121" s="2" t="s">
        <v>30</v>
      </c>
      <c r="J121" s="2" t="s">
        <v>499</v>
      </c>
      <c r="K121" s="2" t="s">
        <v>22</v>
      </c>
      <c r="L121" s="2" t="s">
        <v>23</v>
      </c>
      <c r="M121" s="3">
        <v>1</v>
      </c>
      <c r="N121" s="3">
        <v>1</v>
      </c>
      <c r="O121" s="9" t="s">
        <v>24</v>
      </c>
      <c r="P121" s="3">
        <v>1.97</v>
      </c>
    </row>
    <row r="122" spans="1:16" x14ac:dyDescent="0.3">
      <c r="A122" s="2" t="s">
        <v>500</v>
      </c>
      <c r="B122" s="2" t="s">
        <v>501</v>
      </c>
      <c r="C122" s="2" t="s">
        <v>18</v>
      </c>
      <c r="D122" s="5">
        <v>41.293731299999997</v>
      </c>
      <c r="E122" s="5">
        <v>36.647573199999997</v>
      </c>
      <c r="F122" s="2" t="s">
        <v>502</v>
      </c>
      <c r="G122" s="2" t="s">
        <v>28</v>
      </c>
      <c r="H122" s="2" t="s">
        <v>29</v>
      </c>
      <c r="I122" s="2" t="s">
        <v>30</v>
      </c>
      <c r="J122" s="2" t="s">
        <v>503</v>
      </c>
      <c r="K122" s="2" t="s">
        <v>22</v>
      </c>
      <c r="L122" s="2" t="s">
        <v>44</v>
      </c>
      <c r="M122" s="3">
        <v>1</v>
      </c>
      <c r="N122" s="3">
        <v>1</v>
      </c>
      <c r="O122" s="9" t="s">
        <v>24</v>
      </c>
      <c r="P122" s="3">
        <v>-861.05</v>
      </c>
    </row>
    <row r="123" spans="1:16" x14ac:dyDescent="0.3">
      <c r="A123" s="2" t="s">
        <v>504</v>
      </c>
      <c r="B123" s="2" t="s">
        <v>505</v>
      </c>
      <c r="C123" s="2" t="s">
        <v>18</v>
      </c>
      <c r="D123" s="5">
        <v>41.563453199999998</v>
      </c>
      <c r="E123" s="5">
        <v>35.924354399999999</v>
      </c>
      <c r="F123" s="2" t="s">
        <v>506</v>
      </c>
      <c r="G123" s="2" t="s">
        <v>28</v>
      </c>
      <c r="H123" s="2" t="s">
        <v>36</v>
      </c>
      <c r="I123" s="2" t="s">
        <v>37</v>
      </c>
      <c r="J123" s="2" t="s">
        <v>507</v>
      </c>
      <c r="K123" s="2" t="s">
        <v>22</v>
      </c>
      <c r="L123" s="2" t="s">
        <v>53</v>
      </c>
      <c r="M123" s="3">
        <v>0</v>
      </c>
      <c r="N123" s="3">
        <v>1</v>
      </c>
      <c r="O123" s="9" t="s">
        <v>54</v>
      </c>
      <c r="P123" s="3">
        <v>-3374.06</v>
      </c>
    </row>
    <row r="124" spans="1:16" x14ac:dyDescent="0.3">
      <c r="A124" s="2" t="s">
        <v>508</v>
      </c>
      <c r="B124" s="2" t="s">
        <v>509</v>
      </c>
      <c r="C124" s="2" t="s">
        <v>18</v>
      </c>
      <c r="D124" s="5">
        <v>41.563861299999999</v>
      </c>
      <c r="E124" s="5">
        <v>35.898714099999999</v>
      </c>
      <c r="F124" s="3"/>
      <c r="G124" s="2" t="s">
        <v>259</v>
      </c>
      <c r="H124" s="2" t="s">
        <v>260</v>
      </c>
      <c r="I124" s="2" t="s">
        <v>260</v>
      </c>
      <c r="J124" s="2" t="s">
        <v>510</v>
      </c>
      <c r="K124" s="2" t="s">
        <v>22</v>
      </c>
      <c r="L124" s="2" t="s">
        <v>53</v>
      </c>
      <c r="M124" s="3">
        <v>0</v>
      </c>
      <c r="N124" s="3">
        <v>1</v>
      </c>
      <c r="O124" s="9" t="s">
        <v>24</v>
      </c>
      <c r="P124" s="3">
        <v>0</v>
      </c>
    </row>
    <row r="125" spans="1:16" x14ac:dyDescent="0.3">
      <c r="A125" s="2" t="s">
        <v>511</v>
      </c>
      <c r="B125" s="2" t="s">
        <v>512</v>
      </c>
      <c r="C125" s="2" t="s">
        <v>18</v>
      </c>
      <c r="D125" s="5">
        <v>41.568249999999999</v>
      </c>
      <c r="E125" s="5">
        <v>35.908418300000001</v>
      </c>
      <c r="F125" s="2" t="s">
        <v>513</v>
      </c>
      <c r="G125" s="2" t="s">
        <v>28</v>
      </c>
      <c r="H125" s="2" t="s">
        <v>36</v>
      </c>
      <c r="I125" s="2" t="s">
        <v>37</v>
      </c>
      <c r="J125" s="2" t="s">
        <v>514</v>
      </c>
      <c r="K125" s="2" t="s">
        <v>22</v>
      </c>
      <c r="L125" s="2" t="s">
        <v>53</v>
      </c>
      <c r="M125" s="3">
        <v>0</v>
      </c>
      <c r="N125" s="3">
        <v>1</v>
      </c>
      <c r="O125" s="9" t="s">
        <v>24</v>
      </c>
      <c r="P125" s="3">
        <v>-0.32</v>
      </c>
    </row>
    <row r="126" spans="1:16" x14ac:dyDescent="0.3">
      <c r="A126" s="2" t="s">
        <v>515</v>
      </c>
      <c r="B126" s="2" t="s">
        <v>516</v>
      </c>
      <c r="C126" s="2" t="s">
        <v>18</v>
      </c>
      <c r="D126" s="5">
        <v>41.278089999999999</v>
      </c>
      <c r="E126" s="5">
        <v>36.317610000000002</v>
      </c>
      <c r="F126" s="2" t="s">
        <v>517</v>
      </c>
      <c r="G126" s="2" t="s">
        <v>28</v>
      </c>
      <c r="H126" s="2" t="s">
        <v>135</v>
      </c>
      <c r="I126" s="2" t="s">
        <v>135</v>
      </c>
      <c r="J126" s="2" t="s">
        <v>518</v>
      </c>
      <c r="K126" s="2" t="s">
        <v>22</v>
      </c>
      <c r="L126" s="2" t="s">
        <v>32</v>
      </c>
      <c r="M126" s="3">
        <v>0</v>
      </c>
      <c r="N126" s="3">
        <v>1</v>
      </c>
      <c r="O126" s="9" t="s">
        <v>24</v>
      </c>
      <c r="P126" s="3">
        <v>-10.65</v>
      </c>
    </row>
    <row r="127" spans="1:16" x14ac:dyDescent="0.3">
      <c r="A127" s="2" t="s">
        <v>519</v>
      </c>
      <c r="B127" s="2" t="s">
        <v>520</v>
      </c>
      <c r="C127" s="2" t="s">
        <v>18</v>
      </c>
      <c r="D127" s="5">
        <v>41.2718919</v>
      </c>
      <c r="E127" s="5">
        <v>36.346677</v>
      </c>
      <c r="F127" s="2" t="s">
        <v>521</v>
      </c>
      <c r="G127" s="2" t="s">
        <v>28</v>
      </c>
      <c r="H127" s="2" t="s">
        <v>36</v>
      </c>
      <c r="I127" s="2" t="s">
        <v>37</v>
      </c>
      <c r="J127" s="2" t="s">
        <v>522</v>
      </c>
      <c r="K127" s="2" t="s">
        <v>22</v>
      </c>
      <c r="L127" s="2" t="s">
        <v>32</v>
      </c>
      <c r="M127" s="3">
        <v>2</v>
      </c>
      <c r="N127" s="3">
        <v>1</v>
      </c>
      <c r="O127" s="9" t="s">
        <v>24</v>
      </c>
      <c r="P127" s="3">
        <v>0</v>
      </c>
    </row>
    <row r="128" spans="1:16" x14ac:dyDescent="0.3">
      <c r="A128" s="2" t="s">
        <v>523</v>
      </c>
      <c r="B128" s="2" t="s">
        <v>524</v>
      </c>
      <c r="C128" s="2" t="s">
        <v>18</v>
      </c>
      <c r="D128" s="5">
        <v>41.230880300000003</v>
      </c>
      <c r="E128" s="5">
        <v>36.506169999999997</v>
      </c>
      <c r="F128" s="2" t="s">
        <v>525</v>
      </c>
      <c r="G128" s="2" t="s">
        <v>28</v>
      </c>
      <c r="H128" s="2" t="s">
        <v>36</v>
      </c>
      <c r="I128" s="2" t="s">
        <v>37</v>
      </c>
      <c r="J128" s="2" t="s">
        <v>526</v>
      </c>
      <c r="K128" s="2" t="s">
        <v>22</v>
      </c>
      <c r="L128" s="2" t="s">
        <v>39</v>
      </c>
      <c r="M128" s="3">
        <v>0</v>
      </c>
      <c r="N128" s="3">
        <v>0</v>
      </c>
      <c r="O128" s="9" t="s">
        <v>54</v>
      </c>
      <c r="P128" s="3">
        <v>0</v>
      </c>
    </row>
    <row r="129" spans="1:16" x14ac:dyDescent="0.3">
      <c r="A129" s="2" t="s">
        <v>527</v>
      </c>
      <c r="B129" s="2" t="s">
        <v>528</v>
      </c>
      <c r="C129" s="2" t="s">
        <v>18</v>
      </c>
      <c r="D129" s="5">
        <v>41.078562900000001</v>
      </c>
      <c r="E129" s="5">
        <v>36.551174500000002</v>
      </c>
      <c r="F129" s="2" t="s">
        <v>529</v>
      </c>
      <c r="G129" s="2" t="s">
        <v>28</v>
      </c>
      <c r="H129" s="2" t="s">
        <v>36</v>
      </c>
      <c r="I129" s="2" t="s">
        <v>37</v>
      </c>
      <c r="J129" s="2" t="s">
        <v>530</v>
      </c>
      <c r="K129" s="2" t="s">
        <v>22</v>
      </c>
      <c r="L129" s="2" t="s">
        <v>44</v>
      </c>
      <c r="M129" s="3">
        <v>2</v>
      </c>
      <c r="N129" s="3">
        <v>1</v>
      </c>
      <c r="O129" s="9" t="s">
        <v>24</v>
      </c>
      <c r="P129" s="3">
        <v>-995.81</v>
      </c>
    </row>
    <row r="130" spans="1:16" x14ac:dyDescent="0.3">
      <c r="A130" s="2" t="s">
        <v>531</v>
      </c>
      <c r="B130" s="2" t="s">
        <v>532</v>
      </c>
      <c r="C130" s="2" t="s">
        <v>18</v>
      </c>
      <c r="D130" s="5">
        <v>41.279369500000001</v>
      </c>
      <c r="E130" s="5">
        <v>36.335813399999999</v>
      </c>
      <c r="F130" s="3"/>
      <c r="G130" s="2" t="s">
        <v>259</v>
      </c>
      <c r="H130" s="2" t="s">
        <v>260</v>
      </c>
      <c r="I130" s="2" t="s">
        <v>260</v>
      </c>
      <c r="J130" s="2" t="s">
        <v>533</v>
      </c>
      <c r="K130" s="2" t="s">
        <v>22</v>
      </c>
      <c r="L130" s="2" t="s">
        <v>112</v>
      </c>
      <c r="M130" s="3">
        <v>0</v>
      </c>
      <c r="N130" s="3">
        <v>1</v>
      </c>
      <c r="O130" s="9" t="s">
        <v>24</v>
      </c>
      <c r="P130" s="3">
        <v>0</v>
      </c>
    </row>
    <row r="131" spans="1:16" x14ac:dyDescent="0.3">
      <c r="A131" s="2" t="s">
        <v>534</v>
      </c>
      <c r="B131" s="2" t="s">
        <v>535</v>
      </c>
      <c r="C131" s="2" t="s">
        <v>18</v>
      </c>
      <c r="D131" s="5">
        <v>41.1445869</v>
      </c>
      <c r="E131" s="5">
        <v>37.258135199999998</v>
      </c>
      <c r="F131" s="3"/>
      <c r="G131" s="2" t="s">
        <v>259</v>
      </c>
      <c r="H131" s="2" t="s">
        <v>260</v>
      </c>
      <c r="I131" s="2" t="s">
        <v>260</v>
      </c>
      <c r="J131" s="2" t="s">
        <v>536</v>
      </c>
      <c r="K131" s="2" t="s">
        <v>63</v>
      </c>
      <c r="L131" s="2" t="s">
        <v>89</v>
      </c>
      <c r="M131" s="3">
        <v>1</v>
      </c>
      <c r="N131" s="3">
        <v>1</v>
      </c>
      <c r="O131" s="9" t="s">
        <v>24</v>
      </c>
      <c r="P131" s="3">
        <v>0</v>
      </c>
    </row>
    <row r="132" spans="1:16" x14ac:dyDescent="0.3">
      <c r="A132" s="2" t="s">
        <v>537</v>
      </c>
      <c r="B132" s="2" t="s">
        <v>538</v>
      </c>
      <c r="C132" s="2" t="s">
        <v>18</v>
      </c>
      <c r="D132" s="5">
        <v>41.082744499999997</v>
      </c>
      <c r="E132" s="5">
        <v>36.566772399999998</v>
      </c>
      <c r="F132" s="2" t="s">
        <v>539</v>
      </c>
      <c r="G132" s="2" t="s">
        <v>28</v>
      </c>
      <c r="H132" s="2" t="s">
        <v>36</v>
      </c>
      <c r="I132" s="2" t="s">
        <v>37</v>
      </c>
      <c r="J132" s="2" t="s">
        <v>540</v>
      </c>
      <c r="K132" s="2" t="s">
        <v>22</v>
      </c>
      <c r="L132" s="2" t="s">
        <v>44</v>
      </c>
      <c r="M132" s="3">
        <v>2</v>
      </c>
      <c r="N132" s="3">
        <v>1</v>
      </c>
      <c r="O132" s="9" t="s">
        <v>24</v>
      </c>
      <c r="P132" s="3">
        <v>-1043.3399999999999</v>
      </c>
    </row>
    <row r="133" spans="1:16" x14ac:dyDescent="0.3">
      <c r="A133" s="2" t="s">
        <v>541</v>
      </c>
      <c r="B133" s="2" t="s">
        <v>542</v>
      </c>
      <c r="C133" s="2" t="s">
        <v>18</v>
      </c>
      <c r="D133" s="5">
        <v>41.175676000000003</v>
      </c>
      <c r="E133" s="5">
        <v>36.4925347</v>
      </c>
      <c r="F133" s="2" t="s">
        <v>543</v>
      </c>
      <c r="G133" s="2" t="s">
        <v>28</v>
      </c>
      <c r="H133" s="2" t="s">
        <v>29</v>
      </c>
      <c r="I133" s="2" t="s">
        <v>30</v>
      </c>
      <c r="J133" s="2" t="s">
        <v>544</v>
      </c>
      <c r="K133" s="2" t="s">
        <v>22</v>
      </c>
      <c r="L133" s="2" t="s">
        <v>39</v>
      </c>
      <c r="M133" s="3">
        <v>1</v>
      </c>
      <c r="N133" s="3">
        <v>1</v>
      </c>
      <c r="O133" s="9" t="s">
        <v>54</v>
      </c>
      <c r="P133" s="3">
        <v>0</v>
      </c>
    </row>
    <row r="134" spans="1:16" x14ac:dyDescent="0.3">
      <c r="A134" s="2" t="s">
        <v>545</v>
      </c>
      <c r="B134" s="2" t="s">
        <v>546</v>
      </c>
      <c r="C134" s="2" t="s">
        <v>18</v>
      </c>
      <c r="D134" s="5">
        <v>42.041231199999999</v>
      </c>
      <c r="E134" s="5">
        <v>35.043359799999998</v>
      </c>
      <c r="F134" s="2" t="s">
        <v>547</v>
      </c>
      <c r="G134" s="2" t="s">
        <v>28</v>
      </c>
      <c r="H134" s="2" t="s">
        <v>29</v>
      </c>
      <c r="I134" s="2" t="s">
        <v>30</v>
      </c>
      <c r="J134" s="2" t="s">
        <v>548</v>
      </c>
      <c r="K134" s="2" t="s">
        <v>154</v>
      </c>
      <c r="L134" s="2" t="s">
        <v>155</v>
      </c>
      <c r="M134" s="3">
        <v>1</v>
      </c>
      <c r="N134" s="3">
        <v>1</v>
      </c>
      <c r="O134" s="9" t="s">
        <v>24</v>
      </c>
      <c r="P134" s="3">
        <v>-1199.92</v>
      </c>
    </row>
    <row r="135" spans="1:16" x14ac:dyDescent="0.3">
      <c r="A135" s="2" t="s">
        <v>549</v>
      </c>
      <c r="B135" s="2" t="s">
        <v>550</v>
      </c>
      <c r="C135" s="2" t="s">
        <v>18</v>
      </c>
      <c r="D135" s="5">
        <v>41.283636799999996</v>
      </c>
      <c r="E135" s="5">
        <v>36.340698699999997</v>
      </c>
      <c r="F135" s="3"/>
      <c r="G135" s="2" t="s">
        <v>259</v>
      </c>
      <c r="H135" s="2" t="s">
        <v>260</v>
      </c>
      <c r="I135" s="2" t="s">
        <v>260</v>
      </c>
      <c r="J135" s="2" t="s">
        <v>551</v>
      </c>
      <c r="K135" s="2" t="s">
        <v>22</v>
      </c>
      <c r="L135" s="2" t="s">
        <v>32</v>
      </c>
      <c r="M135" s="3">
        <v>0</v>
      </c>
      <c r="N135" s="3">
        <v>1</v>
      </c>
      <c r="O135" s="9" t="s">
        <v>24</v>
      </c>
      <c r="P135" s="3">
        <v>0</v>
      </c>
    </row>
    <row r="136" spans="1:16" x14ac:dyDescent="0.3">
      <c r="A136" s="2" t="s">
        <v>552</v>
      </c>
      <c r="B136" s="2" t="s">
        <v>553</v>
      </c>
      <c r="C136" s="2" t="s">
        <v>18</v>
      </c>
      <c r="D136" s="5">
        <v>40.969021699999999</v>
      </c>
      <c r="E136" s="5">
        <v>35.665822300000002</v>
      </c>
      <c r="F136" s="3"/>
      <c r="G136" s="2" t="s">
        <v>259</v>
      </c>
      <c r="H136" s="2" t="s">
        <v>260</v>
      </c>
      <c r="I136" s="2" t="s">
        <v>260</v>
      </c>
      <c r="J136" s="2" t="s">
        <v>554</v>
      </c>
      <c r="K136" s="2" t="s">
        <v>22</v>
      </c>
      <c r="L136" s="2" t="s">
        <v>193</v>
      </c>
      <c r="M136" s="3">
        <v>0</v>
      </c>
      <c r="N136" s="3">
        <v>1</v>
      </c>
      <c r="O136" s="9" t="s">
        <v>24</v>
      </c>
      <c r="P136" s="3">
        <v>0</v>
      </c>
    </row>
    <row r="137" spans="1:16" x14ac:dyDescent="0.3">
      <c r="A137" s="2" t="s">
        <v>555</v>
      </c>
      <c r="B137" s="2" t="s">
        <v>556</v>
      </c>
      <c r="C137" s="2" t="s">
        <v>18</v>
      </c>
      <c r="D137" s="5">
        <v>41.195900000000002</v>
      </c>
      <c r="E137" s="5">
        <v>36.712229999999998</v>
      </c>
      <c r="F137" s="2" t="s">
        <v>557</v>
      </c>
      <c r="G137" s="2" t="s">
        <v>28</v>
      </c>
      <c r="H137" s="2" t="s">
        <v>29</v>
      </c>
      <c r="I137" s="2" t="s">
        <v>30</v>
      </c>
      <c r="J137" s="2" t="s">
        <v>558</v>
      </c>
      <c r="K137" s="2" t="s">
        <v>22</v>
      </c>
      <c r="L137" s="2" t="s">
        <v>44</v>
      </c>
      <c r="M137" s="3">
        <v>1</v>
      </c>
      <c r="N137" s="3">
        <v>1</v>
      </c>
      <c r="O137" s="9" t="s">
        <v>24</v>
      </c>
      <c r="P137" s="3">
        <v>0</v>
      </c>
    </row>
    <row r="138" spans="1:16" x14ac:dyDescent="0.3">
      <c r="A138" s="2" t="s">
        <v>559</v>
      </c>
      <c r="B138" s="2" t="s">
        <v>560</v>
      </c>
      <c r="C138" s="2" t="s">
        <v>18</v>
      </c>
      <c r="D138" s="5">
        <v>41.1213531</v>
      </c>
      <c r="E138" s="5">
        <v>37.272596399999998</v>
      </c>
      <c r="F138" s="2" t="s">
        <v>561</v>
      </c>
      <c r="G138" s="2" t="s">
        <v>28</v>
      </c>
      <c r="H138" s="2" t="s">
        <v>29</v>
      </c>
      <c r="I138" s="2" t="s">
        <v>30</v>
      </c>
      <c r="J138" s="2" t="s">
        <v>562</v>
      </c>
      <c r="K138" s="2" t="s">
        <v>63</v>
      </c>
      <c r="L138" s="2" t="s">
        <v>89</v>
      </c>
      <c r="M138" s="3">
        <v>0</v>
      </c>
      <c r="N138" s="3">
        <v>0</v>
      </c>
      <c r="O138" s="9" t="s">
        <v>24</v>
      </c>
      <c r="P138" s="3">
        <v>-1.42</v>
      </c>
    </row>
    <row r="139" spans="1:16" x14ac:dyDescent="0.3">
      <c r="A139" s="2" t="s">
        <v>563</v>
      </c>
      <c r="B139" s="2" t="s">
        <v>564</v>
      </c>
      <c r="C139" s="2" t="s">
        <v>18</v>
      </c>
      <c r="D139" s="5">
        <v>41.330860750500001</v>
      </c>
      <c r="E139" s="5">
        <v>36.263066852500003</v>
      </c>
      <c r="F139" s="3"/>
      <c r="G139" s="2" t="s">
        <v>259</v>
      </c>
      <c r="H139" s="2" t="s">
        <v>260</v>
      </c>
      <c r="I139" s="2" t="s">
        <v>260</v>
      </c>
      <c r="J139" s="2" t="s">
        <v>565</v>
      </c>
      <c r="K139" s="2" t="s">
        <v>22</v>
      </c>
      <c r="L139" s="2" t="s">
        <v>23</v>
      </c>
      <c r="M139" s="3">
        <v>1</v>
      </c>
      <c r="N139" s="3">
        <v>1</v>
      </c>
      <c r="O139" s="9" t="s">
        <v>24</v>
      </c>
      <c r="P139" s="3">
        <v>0</v>
      </c>
    </row>
    <row r="140" spans="1:16" x14ac:dyDescent="0.3">
      <c r="A140" s="2" t="s">
        <v>566</v>
      </c>
      <c r="B140" s="2" t="s">
        <v>567</v>
      </c>
      <c r="C140" s="2" t="s">
        <v>18</v>
      </c>
      <c r="D140" s="5">
        <v>41.355941700000002</v>
      </c>
      <c r="E140" s="5">
        <v>36.236711499999998</v>
      </c>
      <c r="F140" s="3"/>
      <c r="G140" s="2" t="s">
        <v>259</v>
      </c>
      <c r="H140" s="2" t="s">
        <v>260</v>
      </c>
      <c r="I140" s="2" t="s">
        <v>260</v>
      </c>
      <c r="J140" s="2" t="s">
        <v>568</v>
      </c>
      <c r="K140" s="2" t="s">
        <v>22</v>
      </c>
      <c r="L140" s="2" t="s">
        <v>23</v>
      </c>
      <c r="M140" s="3">
        <v>1</v>
      </c>
      <c r="N140" s="3">
        <v>1</v>
      </c>
      <c r="O140" s="9" t="s">
        <v>24</v>
      </c>
      <c r="P140" s="3">
        <v>0</v>
      </c>
    </row>
    <row r="141" spans="1:16" x14ac:dyDescent="0.3">
      <c r="A141" s="2" t="s">
        <v>569</v>
      </c>
      <c r="B141" s="2" t="s">
        <v>570</v>
      </c>
      <c r="C141" s="2" t="s">
        <v>18</v>
      </c>
      <c r="D141" s="5">
        <v>40.973367699999997</v>
      </c>
      <c r="E141" s="5">
        <v>35.674968200000002</v>
      </c>
      <c r="F141" s="2" t="s">
        <v>571</v>
      </c>
      <c r="G141" s="2" t="s">
        <v>28</v>
      </c>
      <c r="H141" s="2" t="s">
        <v>36</v>
      </c>
      <c r="I141" s="2" t="s">
        <v>37</v>
      </c>
      <c r="J141" s="2" t="s">
        <v>572</v>
      </c>
      <c r="K141" s="2" t="s">
        <v>22</v>
      </c>
      <c r="L141" s="2" t="s">
        <v>193</v>
      </c>
      <c r="M141" s="3">
        <v>1</v>
      </c>
      <c r="N141" s="3">
        <v>1</v>
      </c>
      <c r="O141" s="9" t="s">
        <v>54</v>
      </c>
      <c r="P141" s="3">
        <v>-608.44000000000005</v>
      </c>
    </row>
    <row r="142" spans="1:16" x14ac:dyDescent="0.3">
      <c r="A142" s="2" t="s">
        <v>573</v>
      </c>
      <c r="B142" s="2" t="s">
        <v>574</v>
      </c>
      <c r="C142" s="2" t="s">
        <v>18</v>
      </c>
      <c r="D142" s="5">
        <v>41.3636853</v>
      </c>
      <c r="E142" s="5">
        <v>36.186636499999999</v>
      </c>
      <c r="F142" s="3"/>
      <c r="G142" s="2" t="s">
        <v>259</v>
      </c>
      <c r="H142" s="2" t="s">
        <v>260</v>
      </c>
      <c r="I142" s="2" t="s">
        <v>260</v>
      </c>
      <c r="J142" s="2" t="s">
        <v>575</v>
      </c>
      <c r="K142" s="2" t="s">
        <v>22</v>
      </c>
      <c r="L142" s="2" t="s">
        <v>23</v>
      </c>
      <c r="M142" s="3">
        <v>1</v>
      </c>
      <c r="N142" s="3">
        <v>1</v>
      </c>
      <c r="O142" s="9" t="s">
        <v>24</v>
      </c>
      <c r="P142" s="3">
        <v>0</v>
      </c>
    </row>
    <row r="143" spans="1:16" x14ac:dyDescent="0.3">
      <c r="A143" s="2" t="s">
        <v>576</v>
      </c>
      <c r="B143" s="2" t="s">
        <v>577</v>
      </c>
      <c r="C143" s="2" t="s">
        <v>18</v>
      </c>
      <c r="D143" s="5">
        <v>41.276288899999997</v>
      </c>
      <c r="E143" s="5">
        <v>36.331870700000003</v>
      </c>
      <c r="F143" s="3"/>
      <c r="G143" s="2" t="s">
        <v>259</v>
      </c>
      <c r="H143" s="2" t="s">
        <v>260</v>
      </c>
      <c r="I143" s="2" t="s">
        <v>260</v>
      </c>
      <c r="J143" s="2" t="s">
        <v>578</v>
      </c>
      <c r="K143" s="2" t="s">
        <v>22</v>
      </c>
      <c r="L143" s="2" t="s">
        <v>32</v>
      </c>
      <c r="M143" s="3">
        <v>1</v>
      </c>
      <c r="N143" s="3">
        <v>1</v>
      </c>
      <c r="O143" s="9" t="s">
        <v>24</v>
      </c>
      <c r="P143" s="3">
        <v>0</v>
      </c>
    </row>
    <row r="144" spans="1:16" x14ac:dyDescent="0.3">
      <c r="A144" s="2" t="s">
        <v>579</v>
      </c>
      <c r="B144" s="2" t="s">
        <v>580</v>
      </c>
      <c r="C144" s="2" t="s">
        <v>18</v>
      </c>
      <c r="D144" s="5">
        <v>41.283315199999997</v>
      </c>
      <c r="E144" s="5">
        <v>36.336616100000001</v>
      </c>
      <c r="F144" s="2" t="s">
        <v>581</v>
      </c>
      <c r="G144" s="2" t="s">
        <v>221</v>
      </c>
      <c r="H144" s="2" t="s">
        <v>222</v>
      </c>
      <c r="I144" s="2" t="s">
        <v>222</v>
      </c>
      <c r="J144" s="2" t="s">
        <v>582</v>
      </c>
      <c r="K144" s="2" t="s">
        <v>22</v>
      </c>
      <c r="L144" s="2" t="s">
        <v>32</v>
      </c>
      <c r="M144" s="3">
        <v>3</v>
      </c>
      <c r="N144" s="3">
        <v>1</v>
      </c>
      <c r="O144" s="9" t="s">
        <v>24</v>
      </c>
      <c r="P144" s="3">
        <v>0</v>
      </c>
    </row>
    <row r="145" spans="1:16" x14ac:dyDescent="0.3">
      <c r="A145" s="2" t="s">
        <v>583</v>
      </c>
      <c r="B145" s="2" t="s">
        <v>584</v>
      </c>
      <c r="C145" s="2" t="s">
        <v>18</v>
      </c>
      <c r="D145" s="5">
        <v>41.804256100000003</v>
      </c>
      <c r="E145" s="5">
        <v>35.197113600000002</v>
      </c>
      <c r="F145" s="3"/>
      <c r="G145" s="2" t="s">
        <v>259</v>
      </c>
      <c r="H145" s="2" t="s">
        <v>260</v>
      </c>
      <c r="I145" s="2" t="s">
        <v>260</v>
      </c>
      <c r="J145" s="2" t="s">
        <v>585</v>
      </c>
      <c r="K145" s="2" t="s">
        <v>154</v>
      </c>
      <c r="L145" s="2" t="s">
        <v>302</v>
      </c>
      <c r="M145" s="3">
        <v>1</v>
      </c>
      <c r="N145" s="3">
        <v>1</v>
      </c>
      <c r="O145" s="9" t="s">
        <v>24</v>
      </c>
      <c r="P145" s="3">
        <v>0</v>
      </c>
    </row>
    <row r="146" spans="1:16" x14ac:dyDescent="0.3">
      <c r="A146" s="2" t="s">
        <v>586</v>
      </c>
      <c r="B146" s="2" t="s">
        <v>587</v>
      </c>
      <c r="C146" s="2" t="s">
        <v>18</v>
      </c>
      <c r="D146" s="5">
        <v>41.569071700000002</v>
      </c>
      <c r="E146" s="5">
        <v>35.9185783</v>
      </c>
      <c r="F146" s="2" t="s">
        <v>588</v>
      </c>
      <c r="G146" s="2" t="s">
        <v>28</v>
      </c>
      <c r="H146" s="2" t="s">
        <v>36</v>
      </c>
      <c r="I146" s="2" t="s">
        <v>37</v>
      </c>
      <c r="J146" s="2" t="s">
        <v>589</v>
      </c>
      <c r="K146" s="2" t="s">
        <v>22</v>
      </c>
      <c r="L146" s="2" t="s">
        <v>53</v>
      </c>
      <c r="M146" s="3">
        <v>1</v>
      </c>
      <c r="N146" s="3">
        <v>1</v>
      </c>
      <c r="O146" s="9" t="s">
        <v>24</v>
      </c>
      <c r="P146" s="3">
        <v>26.03</v>
      </c>
    </row>
    <row r="147" spans="1:16" x14ac:dyDescent="0.3">
      <c r="A147" s="2" t="s">
        <v>590</v>
      </c>
      <c r="B147" s="2" t="s">
        <v>591</v>
      </c>
      <c r="C147" s="2" t="s">
        <v>18</v>
      </c>
      <c r="D147" s="5">
        <v>41.800575899999998</v>
      </c>
      <c r="E147" s="5">
        <v>35.193321099999999</v>
      </c>
      <c r="F147" s="3"/>
      <c r="G147" s="2" t="s">
        <v>259</v>
      </c>
      <c r="H147" s="2" t="s">
        <v>260</v>
      </c>
      <c r="I147" s="2" t="s">
        <v>260</v>
      </c>
      <c r="J147" s="2" t="s">
        <v>592</v>
      </c>
      <c r="K147" s="2" t="s">
        <v>154</v>
      </c>
      <c r="L147" s="2" t="s">
        <v>302</v>
      </c>
      <c r="M147" s="3">
        <v>1</v>
      </c>
      <c r="N147" s="3">
        <v>1</v>
      </c>
      <c r="O147" s="9" t="s">
        <v>24</v>
      </c>
      <c r="P147" s="3">
        <v>0</v>
      </c>
    </row>
    <row r="148" spans="1:16" x14ac:dyDescent="0.3">
      <c r="A148" s="2" t="s">
        <v>593</v>
      </c>
      <c r="B148" s="2" t="s">
        <v>594</v>
      </c>
      <c r="C148" s="2" t="s">
        <v>18</v>
      </c>
      <c r="D148" s="5">
        <v>41.053679700000004</v>
      </c>
      <c r="E148" s="5">
        <v>37.076576600000003</v>
      </c>
      <c r="F148" s="2" t="s">
        <v>595</v>
      </c>
      <c r="G148" s="2" t="s">
        <v>28</v>
      </c>
      <c r="H148" s="2" t="s">
        <v>29</v>
      </c>
      <c r="I148" s="2" t="s">
        <v>30</v>
      </c>
      <c r="J148" s="2" t="s">
        <v>596</v>
      </c>
      <c r="K148" s="2" t="s">
        <v>63</v>
      </c>
      <c r="L148" s="2" t="s">
        <v>94</v>
      </c>
      <c r="M148" s="3">
        <v>0</v>
      </c>
      <c r="N148" s="3">
        <v>1</v>
      </c>
      <c r="O148" s="9" t="s">
        <v>24</v>
      </c>
      <c r="P148" s="3">
        <v>0</v>
      </c>
    </row>
    <row r="149" spans="1:16" x14ac:dyDescent="0.3">
      <c r="A149" s="2" t="s">
        <v>597</v>
      </c>
      <c r="B149" s="2" t="s">
        <v>598</v>
      </c>
      <c r="C149" s="2" t="s">
        <v>18</v>
      </c>
      <c r="D149" s="5">
        <v>42.018633800000003</v>
      </c>
      <c r="E149" s="5">
        <v>35.095041199999997</v>
      </c>
      <c r="F149" s="2" t="s">
        <v>599</v>
      </c>
      <c r="G149" s="2" t="s">
        <v>28</v>
      </c>
      <c r="H149" s="2" t="s">
        <v>29</v>
      </c>
      <c r="I149" s="2" t="s">
        <v>30</v>
      </c>
      <c r="J149" s="2" t="s">
        <v>600</v>
      </c>
      <c r="K149" s="2" t="s">
        <v>154</v>
      </c>
      <c r="L149" s="2" t="s">
        <v>155</v>
      </c>
      <c r="M149" s="3">
        <v>1</v>
      </c>
      <c r="N149" s="3">
        <v>1</v>
      </c>
      <c r="O149" s="9" t="s">
        <v>24</v>
      </c>
      <c r="P149" s="3">
        <v>0</v>
      </c>
    </row>
    <row r="150" spans="1:16" x14ac:dyDescent="0.3">
      <c r="A150" s="2" t="s">
        <v>601</v>
      </c>
      <c r="B150" s="2" t="s">
        <v>602</v>
      </c>
      <c r="C150" s="2" t="s">
        <v>18</v>
      </c>
      <c r="D150" s="5">
        <v>41.337761556357997</v>
      </c>
      <c r="E150" s="5">
        <v>36.259683699385</v>
      </c>
      <c r="F150" s="2" t="s">
        <v>603</v>
      </c>
      <c r="G150" s="2" t="s">
        <v>28</v>
      </c>
      <c r="H150" s="2" t="s">
        <v>36</v>
      </c>
      <c r="I150" s="2" t="s">
        <v>37</v>
      </c>
      <c r="J150" s="2" t="s">
        <v>604</v>
      </c>
      <c r="K150" s="2" t="s">
        <v>22</v>
      </c>
      <c r="L150" s="2" t="s">
        <v>23</v>
      </c>
      <c r="M150" s="3">
        <v>0</v>
      </c>
      <c r="N150" s="3">
        <v>1</v>
      </c>
      <c r="O150" s="9" t="s">
        <v>24</v>
      </c>
      <c r="P150" s="3">
        <v>-33.450000000000003</v>
      </c>
    </row>
    <row r="151" spans="1:16" x14ac:dyDescent="0.3">
      <c r="A151" s="2" t="s">
        <v>605</v>
      </c>
      <c r="B151" s="2" t="s">
        <v>606</v>
      </c>
      <c r="C151" s="2" t="s">
        <v>18</v>
      </c>
      <c r="D151" s="5">
        <v>41.141042599999999</v>
      </c>
      <c r="E151" s="5">
        <v>36.120161699999997</v>
      </c>
      <c r="F151" s="2" t="s">
        <v>607</v>
      </c>
      <c r="G151" s="2" t="s">
        <v>28</v>
      </c>
      <c r="H151" s="2" t="s">
        <v>36</v>
      </c>
      <c r="I151" s="2" t="s">
        <v>37</v>
      </c>
      <c r="J151" s="2" t="s">
        <v>608</v>
      </c>
      <c r="K151" s="2" t="s">
        <v>22</v>
      </c>
      <c r="L151" s="2" t="s">
        <v>224</v>
      </c>
      <c r="M151" s="3">
        <v>1</v>
      </c>
      <c r="N151" s="3">
        <v>1</v>
      </c>
      <c r="O151" s="9" t="s">
        <v>24</v>
      </c>
      <c r="P151" s="3">
        <v>0</v>
      </c>
    </row>
    <row r="152" spans="1:16" x14ac:dyDescent="0.3">
      <c r="A152" s="2" t="s">
        <v>609</v>
      </c>
      <c r="B152" s="2" t="s">
        <v>610</v>
      </c>
      <c r="C152" s="2" t="s">
        <v>18</v>
      </c>
      <c r="D152" s="5">
        <v>41.366985</v>
      </c>
      <c r="E152" s="5">
        <v>36.228209999999997</v>
      </c>
      <c r="F152" s="3"/>
      <c r="G152" s="2" t="s">
        <v>259</v>
      </c>
      <c r="H152" s="2" t="s">
        <v>260</v>
      </c>
      <c r="I152" s="2" t="s">
        <v>260</v>
      </c>
      <c r="J152" s="2" t="s">
        <v>611</v>
      </c>
      <c r="K152" s="2" t="s">
        <v>22</v>
      </c>
      <c r="L152" s="2" t="s">
        <v>32</v>
      </c>
      <c r="M152" s="3">
        <v>1</v>
      </c>
      <c r="N152" s="3">
        <v>1</v>
      </c>
      <c r="O152" s="9" t="s">
        <v>24</v>
      </c>
      <c r="P152" s="3">
        <v>0</v>
      </c>
    </row>
    <row r="153" spans="1:16" x14ac:dyDescent="0.3">
      <c r="A153" s="2" t="s">
        <v>612</v>
      </c>
      <c r="B153" s="2" t="s">
        <v>613</v>
      </c>
      <c r="C153" s="2" t="s">
        <v>18</v>
      </c>
      <c r="D153" s="5">
        <v>41.315213861099998</v>
      </c>
      <c r="E153" s="5">
        <v>36.319635915100001</v>
      </c>
      <c r="F153" s="3"/>
      <c r="G153" s="2" t="s">
        <v>259</v>
      </c>
      <c r="H153" s="2" t="s">
        <v>260</v>
      </c>
      <c r="I153" s="2" t="s">
        <v>260</v>
      </c>
      <c r="J153" s="2" t="s">
        <v>614</v>
      </c>
      <c r="K153" s="2" t="s">
        <v>22</v>
      </c>
      <c r="L153" s="2" t="s">
        <v>32</v>
      </c>
      <c r="M153" s="3">
        <v>1</v>
      </c>
      <c r="N153" s="3">
        <v>1</v>
      </c>
      <c r="O153" s="9" t="s">
        <v>24</v>
      </c>
      <c r="P153" s="3">
        <v>0</v>
      </c>
    </row>
    <row r="154" spans="1:16" x14ac:dyDescent="0.3">
      <c r="A154" s="2" t="s">
        <v>615</v>
      </c>
      <c r="B154" s="2" t="s">
        <v>616</v>
      </c>
      <c r="C154" s="2" t="s">
        <v>18</v>
      </c>
      <c r="D154" s="5">
        <v>40.971302600000001</v>
      </c>
      <c r="E154" s="5">
        <v>35.785857</v>
      </c>
      <c r="F154" s="2" t="s">
        <v>617</v>
      </c>
      <c r="G154" s="2" t="s">
        <v>28</v>
      </c>
      <c r="H154" s="2" t="s">
        <v>29</v>
      </c>
      <c r="I154" s="2" t="s">
        <v>30</v>
      </c>
      <c r="J154" s="2" t="s">
        <v>618</v>
      </c>
      <c r="K154" s="2" t="s">
        <v>22</v>
      </c>
      <c r="L154" s="2" t="s">
        <v>76</v>
      </c>
      <c r="M154" s="3">
        <v>2</v>
      </c>
      <c r="N154" s="3">
        <v>1</v>
      </c>
      <c r="O154" s="9" t="s">
        <v>24</v>
      </c>
      <c r="P154" s="3">
        <v>-1681.17</v>
      </c>
    </row>
    <row r="155" spans="1:16" x14ac:dyDescent="0.3">
      <c r="A155" s="2" t="s">
        <v>619</v>
      </c>
      <c r="B155" s="2" t="s">
        <v>620</v>
      </c>
      <c r="C155" s="2" t="s">
        <v>18</v>
      </c>
      <c r="D155" s="5">
        <v>41.192196000000003</v>
      </c>
      <c r="E155" s="5">
        <v>35.197150000000001</v>
      </c>
      <c r="F155" s="2" t="s">
        <v>621</v>
      </c>
      <c r="G155" s="2" t="s">
        <v>28</v>
      </c>
      <c r="H155" s="2" t="s">
        <v>29</v>
      </c>
      <c r="I155" s="2" t="s">
        <v>30</v>
      </c>
      <c r="J155" s="2" t="s">
        <v>622</v>
      </c>
      <c r="K155" s="2" t="s">
        <v>22</v>
      </c>
      <c r="L155" s="2" t="s">
        <v>164</v>
      </c>
      <c r="M155" s="3">
        <v>1</v>
      </c>
      <c r="N155" s="3">
        <v>1</v>
      </c>
      <c r="O155" s="9" t="s">
        <v>24</v>
      </c>
      <c r="P155" s="3">
        <v>-21.25</v>
      </c>
    </row>
    <row r="156" spans="1:16" x14ac:dyDescent="0.3">
      <c r="A156" s="2" t="s">
        <v>623</v>
      </c>
      <c r="B156" s="2" t="s">
        <v>624</v>
      </c>
      <c r="C156" s="2" t="s">
        <v>18</v>
      </c>
      <c r="D156" s="5">
        <v>41.2039939</v>
      </c>
      <c r="E156" s="5">
        <v>35.195853200000002</v>
      </c>
      <c r="F156" s="2" t="s">
        <v>625</v>
      </c>
      <c r="G156" s="2" t="s">
        <v>28</v>
      </c>
      <c r="H156" s="2" t="s">
        <v>29</v>
      </c>
      <c r="I156" s="2" t="s">
        <v>30</v>
      </c>
      <c r="J156" s="2" t="s">
        <v>626</v>
      </c>
      <c r="K156" s="2" t="s">
        <v>22</v>
      </c>
      <c r="L156" s="2" t="s">
        <v>164</v>
      </c>
      <c r="M156" s="3">
        <v>1</v>
      </c>
      <c r="N156" s="3">
        <v>1</v>
      </c>
      <c r="O156" s="9" t="s">
        <v>24</v>
      </c>
      <c r="P156" s="3">
        <v>-1.17</v>
      </c>
    </row>
    <row r="157" spans="1:16" x14ac:dyDescent="0.3">
      <c r="A157" s="2" t="s">
        <v>627</v>
      </c>
      <c r="B157" s="2" t="s">
        <v>628</v>
      </c>
      <c r="C157" s="2" t="s">
        <v>18</v>
      </c>
      <c r="D157" s="5">
        <v>41.152445</v>
      </c>
      <c r="E157" s="5">
        <v>35.505206700000002</v>
      </c>
      <c r="F157" s="2" t="s">
        <v>629</v>
      </c>
      <c r="G157" s="2" t="s">
        <v>28</v>
      </c>
      <c r="H157" s="2" t="s">
        <v>29</v>
      </c>
      <c r="I157" s="2" t="s">
        <v>30</v>
      </c>
      <c r="J157" s="2" t="s">
        <v>630</v>
      </c>
      <c r="K157" s="2" t="s">
        <v>22</v>
      </c>
      <c r="L157" s="2" t="s">
        <v>164</v>
      </c>
      <c r="M157" s="3">
        <v>1</v>
      </c>
      <c r="N157" s="3">
        <v>1</v>
      </c>
      <c r="O157" s="9" t="s">
        <v>24</v>
      </c>
      <c r="P157" s="3">
        <v>0</v>
      </c>
    </row>
    <row r="158" spans="1:16" x14ac:dyDescent="0.3">
      <c r="A158" s="2" t="s">
        <v>631</v>
      </c>
      <c r="B158" s="2" t="s">
        <v>632</v>
      </c>
      <c r="C158" s="2" t="s">
        <v>18</v>
      </c>
      <c r="D158" s="5">
        <v>41.119817500000003</v>
      </c>
      <c r="E158" s="5">
        <v>37.271955699999999</v>
      </c>
      <c r="F158" s="2" t="s">
        <v>456</v>
      </c>
      <c r="G158" s="2" t="s">
        <v>348</v>
      </c>
      <c r="H158" s="2" t="s">
        <v>349</v>
      </c>
      <c r="I158" s="2" t="s">
        <v>37</v>
      </c>
      <c r="J158" s="2" t="s">
        <v>633</v>
      </c>
      <c r="K158" s="2" t="s">
        <v>63</v>
      </c>
      <c r="L158" s="2" t="s">
        <v>89</v>
      </c>
      <c r="M158" s="3">
        <v>1</v>
      </c>
      <c r="N158" s="3">
        <v>1</v>
      </c>
      <c r="O158" s="9" t="s">
        <v>54</v>
      </c>
      <c r="P158" s="3">
        <v>-11087.44</v>
      </c>
    </row>
    <row r="159" spans="1:16" x14ac:dyDescent="0.3">
      <c r="A159" s="2" t="s">
        <v>634</v>
      </c>
      <c r="B159" s="2" t="s">
        <v>635</v>
      </c>
      <c r="C159" s="2" t="s">
        <v>18</v>
      </c>
      <c r="D159" s="5">
        <v>41.101808300000002</v>
      </c>
      <c r="E159" s="5">
        <v>35.001145000000001</v>
      </c>
      <c r="F159" s="2" t="s">
        <v>636</v>
      </c>
      <c r="G159" s="2" t="s">
        <v>28</v>
      </c>
      <c r="H159" s="2" t="s">
        <v>29</v>
      </c>
      <c r="I159" s="2" t="s">
        <v>30</v>
      </c>
      <c r="J159" s="2" t="s">
        <v>637</v>
      </c>
      <c r="K159" s="2" t="s">
        <v>22</v>
      </c>
      <c r="L159" s="2" t="s">
        <v>164</v>
      </c>
      <c r="M159" s="3">
        <v>2</v>
      </c>
      <c r="N159" s="3">
        <v>1</v>
      </c>
      <c r="O159" s="9" t="s">
        <v>24</v>
      </c>
      <c r="P159" s="3">
        <v>-0.69</v>
      </c>
    </row>
    <row r="160" spans="1:16" x14ac:dyDescent="0.3">
      <c r="A160" s="2" t="s">
        <v>638</v>
      </c>
      <c r="B160" s="2" t="s">
        <v>639</v>
      </c>
      <c r="C160" s="2" t="s">
        <v>18</v>
      </c>
      <c r="D160" s="5">
        <v>41.281944000000003</v>
      </c>
      <c r="E160" s="5">
        <v>36.3408534</v>
      </c>
      <c r="F160" s="3"/>
      <c r="G160" s="2" t="s">
        <v>259</v>
      </c>
      <c r="H160" s="2" t="s">
        <v>260</v>
      </c>
      <c r="I160" s="2" t="s">
        <v>260</v>
      </c>
      <c r="J160" s="2" t="s">
        <v>640</v>
      </c>
      <c r="K160" s="2" t="s">
        <v>22</v>
      </c>
      <c r="L160" s="2" t="s">
        <v>32</v>
      </c>
      <c r="M160" s="3">
        <v>0</v>
      </c>
      <c r="N160" s="3">
        <v>1</v>
      </c>
      <c r="O160" s="9" t="s">
        <v>24</v>
      </c>
      <c r="P160" s="3">
        <v>0</v>
      </c>
    </row>
    <row r="161" spans="1:16" x14ac:dyDescent="0.3">
      <c r="A161" s="2" t="s">
        <v>641</v>
      </c>
      <c r="B161" s="2" t="s">
        <v>642</v>
      </c>
      <c r="C161" s="2" t="s">
        <v>18</v>
      </c>
      <c r="D161" s="5">
        <v>41.245841800000001</v>
      </c>
      <c r="E161" s="5">
        <v>36.341521899999996</v>
      </c>
      <c r="F161" s="2" t="s">
        <v>643</v>
      </c>
      <c r="G161" s="2" t="s">
        <v>28</v>
      </c>
      <c r="H161" s="2" t="s">
        <v>36</v>
      </c>
      <c r="I161" s="2" t="s">
        <v>37</v>
      </c>
      <c r="J161" s="2" t="s">
        <v>644</v>
      </c>
      <c r="K161" s="2" t="s">
        <v>22</v>
      </c>
      <c r="L161" s="2" t="s">
        <v>99</v>
      </c>
      <c r="M161" s="3">
        <v>2</v>
      </c>
      <c r="N161" s="3">
        <v>1</v>
      </c>
      <c r="O161" s="9" t="s">
        <v>24</v>
      </c>
      <c r="P161" s="3">
        <v>-1818.44</v>
      </c>
    </row>
    <row r="162" spans="1:16" x14ac:dyDescent="0.3">
      <c r="A162" s="2" t="s">
        <v>645</v>
      </c>
      <c r="B162" s="2" t="s">
        <v>646</v>
      </c>
      <c r="C162" s="2" t="s">
        <v>18</v>
      </c>
      <c r="D162" s="5">
        <v>41.275513400000001</v>
      </c>
      <c r="E162" s="5">
        <v>36.598706800000002</v>
      </c>
      <c r="F162" s="2" t="s">
        <v>647</v>
      </c>
      <c r="G162" s="2" t="s">
        <v>28</v>
      </c>
      <c r="H162" s="2" t="s">
        <v>29</v>
      </c>
      <c r="I162" s="2" t="s">
        <v>30</v>
      </c>
      <c r="J162" s="2" t="s">
        <v>648</v>
      </c>
      <c r="K162" s="2" t="s">
        <v>22</v>
      </c>
      <c r="L162" s="2" t="s">
        <v>44</v>
      </c>
      <c r="M162" s="3">
        <v>1</v>
      </c>
      <c r="N162" s="3">
        <v>1</v>
      </c>
      <c r="O162" s="9" t="s">
        <v>24</v>
      </c>
      <c r="P162" s="3">
        <v>-487.73</v>
      </c>
    </row>
    <row r="163" spans="1:16" x14ac:dyDescent="0.3">
      <c r="A163" s="2" t="s">
        <v>649</v>
      </c>
      <c r="B163" s="2" t="s">
        <v>650</v>
      </c>
      <c r="C163" s="2" t="s">
        <v>18</v>
      </c>
      <c r="D163" s="5">
        <v>41.263958000000002</v>
      </c>
      <c r="E163" s="5">
        <v>36.352297900000003</v>
      </c>
      <c r="F163" s="3"/>
      <c r="G163" s="2" t="s">
        <v>259</v>
      </c>
      <c r="H163" s="2" t="s">
        <v>260</v>
      </c>
      <c r="I163" s="2" t="s">
        <v>260</v>
      </c>
      <c r="J163" s="2" t="s">
        <v>651</v>
      </c>
      <c r="K163" s="2" t="s">
        <v>22</v>
      </c>
      <c r="L163" s="2" t="s">
        <v>99</v>
      </c>
      <c r="M163" s="3">
        <v>1</v>
      </c>
      <c r="N163" s="3">
        <v>1</v>
      </c>
      <c r="O163" s="9" t="s">
        <v>24</v>
      </c>
      <c r="P163" s="3">
        <v>0</v>
      </c>
    </row>
    <row r="164" spans="1:16" x14ac:dyDescent="0.3">
      <c r="A164" s="2" t="s">
        <v>652</v>
      </c>
      <c r="B164" s="2" t="s">
        <v>653</v>
      </c>
      <c r="C164" s="2" t="s">
        <v>18</v>
      </c>
      <c r="D164" s="5">
        <v>41.1870653</v>
      </c>
      <c r="E164" s="5">
        <v>36.699725600000001</v>
      </c>
      <c r="F164" s="2" t="s">
        <v>654</v>
      </c>
      <c r="G164" s="2" t="s">
        <v>28</v>
      </c>
      <c r="H164" s="2" t="s">
        <v>36</v>
      </c>
      <c r="I164" s="2" t="s">
        <v>37</v>
      </c>
      <c r="J164" s="2" t="s">
        <v>655</v>
      </c>
      <c r="K164" s="2" t="s">
        <v>22</v>
      </c>
      <c r="L164" s="2" t="s">
        <v>44</v>
      </c>
      <c r="M164" s="3">
        <v>2</v>
      </c>
      <c r="N164" s="3">
        <v>1</v>
      </c>
      <c r="O164" s="9" t="s">
        <v>24</v>
      </c>
      <c r="P164" s="3">
        <v>-695.26</v>
      </c>
    </row>
    <row r="165" spans="1:16" x14ac:dyDescent="0.3">
      <c r="A165" s="2" t="s">
        <v>656</v>
      </c>
      <c r="B165" s="2" t="s">
        <v>657</v>
      </c>
      <c r="C165" s="2" t="s">
        <v>18</v>
      </c>
      <c r="D165" s="5">
        <v>41.339968499999998</v>
      </c>
      <c r="E165" s="5">
        <v>36.239088099999996</v>
      </c>
      <c r="F165" s="3"/>
      <c r="G165" s="2" t="s">
        <v>259</v>
      </c>
      <c r="H165" s="2" t="s">
        <v>260</v>
      </c>
      <c r="I165" s="2" t="s">
        <v>260</v>
      </c>
      <c r="J165" s="2" t="s">
        <v>658</v>
      </c>
      <c r="K165" s="2" t="s">
        <v>22</v>
      </c>
      <c r="L165" s="2" t="s">
        <v>23</v>
      </c>
      <c r="M165" s="3">
        <v>1</v>
      </c>
      <c r="N165" s="3">
        <v>1</v>
      </c>
      <c r="O165" s="9" t="s">
        <v>24</v>
      </c>
      <c r="P165" s="3">
        <v>0</v>
      </c>
    </row>
    <row r="166" spans="1:16" x14ac:dyDescent="0.3">
      <c r="A166" s="2" t="s">
        <v>659</v>
      </c>
      <c r="B166" s="2" t="s">
        <v>660</v>
      </c>
      <c r="C166" s="2" t="s">
        <v>18</v>
      </c>
      <c r="D166" s="5">
        <v>41.324323858200003</v>
      </c>
      <c r="E166" s="5">
        <v>36.296453699499999</v>
      </c>
      <c r="F166" s="3"/>
      <c r="G166" s="2" t="s">
        <v>259</v>
      </c>
      <c r="H166" s="2" t="s">
        <v>260</v>
      </c>
      <c r="I166" s="2" t="s">
        <v>260</v>
      </c>
      <c r="J166" s="2" t="s">
        <v>661</v>
      </c>
      <c r="K166" s="2" t="s">
        <v>22</v>
      </c>
      <c r="L166" s="2" t="s">
        <v>23</v>
      </c>
      <c r="M166" s="3">
        <v>1</v>
      </c>
      <c r="N166" s="3">
        <v>1</v>
      </c>
      <c r="O166" s="9" t="s">
        <v>24</v>
      </c>
      <c r="P166" s="3">
        <v>0</v>
      </c>
    </row>
    <row r="167" spans="1:16" x14ac:dyDescent="0.3">
      <c r="A167" s="2" t="s">
        <v>662</v>
      </c>
      <c r="B167" s="2" t="s">
        <v>663</v>
      </c>
      <c r="C167" s="2" t="s">
        <v>18</v>
      </c>
      <c r="D167" s="5">
        <v>41.632258700000001</v>
      </c>
      <c r="E167" s="5">
        <v>35.529507199999998</v>
      </c>
      <c r="F167" s="3"/>
      <c r="G167" s="2" t="s">
        <v>259</v>
      </c>
      <c r="H167" s="2" t="s">
        <v>260</v>
      </c>
      <c r="I167" s="2" t="s">
        <v>260</v>
      </c>
      <c r="J167" s="2" t="s">
        <v>664</v>
      </c>
      <c r="K167" s="2" t="s">
        <v>22</v>
      </c>
      <c r="L167" s="2" t="s">
        <v>665</v>
      </c>
      <c r="M167" s="3">
        <v>1</v>
      </c>
      <c r="N167" s="3">
        <v>1</v>
      </c>
      <c r="O167" s="9" t="s">
        <v>24</v>
      </c>
      <c r="P167" s="3">
        <v>0</v>
      </c>
    </row>
    <row r="168" spans="1:16" x14ac:dyDescent="0.3">
      <c r="A168" s="2" t="s">
        <v>666</v>
      </c>
      <c r="B168" s="2" t="s">
        <v>667</v>
      </c>
      <c r="C168" s="2" t="s">
        <v>18</v>
      </c>
      <c r="D168" s="5">
        <v>42.024918499999998</v>
      </c>
      <c r="E168" s="5">
        <v>35.147953399999999</v>
      </c>
      <c r="F168" s="3"/>
      <c r="G168" s="2" t="s">
        <v>259</v>
      </c>
      <c r="H168" s="2" t="s">
        <v>260</v>
      </c>
      <c r="I168" s="2" t="s">
        <v>260</v>
      </c>
      <c r="J168" s="2" t="s">
        <v>668</v>
      </c>
      <c r="K168" s="2" t="s">
        <v>154</v>
      </c>
      <c r="L168" s="2" t="s">
        <v>155</v>
      </c>
      <c r="M168" s="3">
        <v>1</v>
      </c>
      <c r="N168" s="3">
        <v>1</v>
      </c>
      <c r="O168" s="9" t="s">
        <v>24</v>
      </c>
      <c r="P168" s="3">
        <v>0</v>
      </c>
    </row>
    <row r="169" spans="1:16" x14ac:dyDescent="0.3">
      <c r="A169" s="2" t="s">
        <v>669</v>
      </c>
      <c r="B169" s="2" t="s">
        <v>670</v>
      </c>
      <c r="C169" s="2" t="s">
        <v>18</v>
      </c>
      <c r="D169" s="5">
        <v>41.299999700000001</v>
      </c>
      <c r="E169" s="5">
        <v>36.671485199999999</v>
      </c>
      <c r="F169" s="2" t="s">
        <v>671</v>
      </c>
      <c r="G169" s="2" t="s">
        <v>28</v>
      </c>
      <c r="H169" s="2" t="s">
        <v>29</v>
      </c>
      <c r="I169" s="2" t="s">
        <v>30</v>
      </c>
      <c r="J169" s="2" t="s">
        <v>672</v>
      </c>
      <c r="K169" s="2" t="s">
        <v>22</v>
      </c>
      <c r="L169" s="2" t="s">
        <v>44</v>
      </c>
      <c r="M169" s="3">
        <v>1</v>
      </c>
      <c r="N169" s="3">
        <v>1</v>
      </c>
      <c r="O169" s="9" t="s">
        <v>24</v>
      </c>
      <c r="P169" s="3">
        <v>-459.94</v>
      </c>
    </row>
    <row r="170" spans="1:16" x14ac:dyDescent="0.3">
      <c r="A170" s="2" t="s">
        <v>673</v>
      </c>
      <c r="B170" s="2" t="s">
        <v>674</v>
      </c>
      <c r="C170" s="2" t="s">
        <v>18</v>
      </c>
      <c r="D170" s="5">
        <v>41.290095399999998</v>
      </c>
      <c r="E170" s="5">
        <v>36.329859399999997</v>
      </c>
      <c r="F170" s="3"/>
      <c r="G170" s="2" t="s">
        <v>259</v>
      </c>
      <c r="H170" s="2" t="s">
        <v>260</v>
      </c>
      <c r="I170" s="2" t="s">
        <v>260</v>
      </c>
      <c r="J170" s="2" t="s">
        <v>675</v>
      </c>
      <c r="K170" s="2" t="s">
        <v>22</v>
      </c>
      <c r="L170" s="2" t="s">
        <v>32</v>
      </c>
      <c r="M170" s="3">
        <v>0</v>
      </c>
      <c r="N170" s="3">
        <v>1</v>
      </c>
      <c r="O170" s="9" t="s">
        <v>24</v>
      </c>
      <c r="P170" s="3">
        <v>0</v>
      </c>
    </row>
    <row r="171" spans="1:16" x14ac:dyDescent="0.3">
      <c r="A171" s="2" t="s">
        <v>676</v>
      </c>
      <c r="B171" s="2" t="s">
        <v>677</v>
      </c>
      <c r="C171" s="2" t="s">
        <v>18</v>
      </c>
      <c r="D171" s="5">
        <v>41.28913</v>
      </c>
      <c r="E171" s="5">
        <v>36.326635000000003</v>
      </c>
      <c r="F171" s="3"/>
      <c r="G171" s="2" t="s">
        <v>259</v>
      </c>
      <c r="H171" s="2" t="s">
        <v>260</v>
      </c>
      <c r="I171" s="2" t="s">
        <v>260</v>
      </c>
      <c r="J171" s="2" t="s">
        <v>678</v>
      </c>
      <c r="K171" s="2" t="s">
        <v>22</v>
      </c>
      <c r="L171" s="2" t="s">
        <v>32</v>
      </c>
      <c r="M171" s="3">
        <v>1</v>
      </c>
      <c r="N171" s="3">
        <v>1</v>
      </c>
      <c r="O171" s="9" t="s">
        <v>24</v>
      </c>
      <c r="P171" s="3">
        <v>0</v>
      </c>
    </row>
    <row r="172" spans="1:16" x14ac:dyDescent="0.3">
      <c r="A172" s="2" t="s">
        <v>679</v>
      </c>
      <c r="B172" s="2" t="s">
        <v>680</v>
      </c>
      <c r="C172" s="2" t="s">
        <v>18</v>
      </c>
      <c r="D172" s="5">
        <v>41.1262021</v>
      </c>
      <c r="E172" s="5">
        <v>35.487009899999997</v>
      </c>
      <c r="F172" s="2" t="s">
        <v>681</v>
      </c>
      <c r="G172" s="2" t="s">
        <v>28</v>
      </c>
      <c r="H172" s="2" t="s">
        <v>682</v>
      </c>
      <c r="I172" s="2" t="s">
        <v>682</v>
      </c>
      <c r="J172" s="2" t="s">
        <v>683</v>
      </c>
      <c r="K172" s="2" t="s">
        <v>22</v>
      </c>
      <c r="L172" s="2" t="s">
        <v>164</v>
      </c>
      <c r="M172" s="3">
        <v>1</v>
      </c>
      <c r="N172" s="3">
        <v>1</v>
      </c>
      <c r="O172" s="9" t="s">
        <v>24</v>
      </c>
      <c r="P172" s="3">
        <v>0</v>
      </c>
    </row>
    <row r="173" spans="1:16" x14ac:dyDescent="0.3">
      <c r="A173" s="2" t="s">
        <v>684</v>
      </c>
      <c r="B173" s="2" t="s">
        <v>685</v>
      </c>
      <c r="C173" s="2" t="s">
        <v>18</v>
      </c>
      <c r="D173" s="5">
        <v>40.973163300000003</v>
      </c>
      <c r="E173" s="5">
        <v>35.663691399999998</v>
      </c>
      <c r="F173" s="2" t="s">
        <v>686</v>
      </c>
      <c r="G173" s="2" t="s">
        <v>28</v>
      </c>
      <c r="H173" s="2" t="s">
        <v>29</v>
      </c>
      <c r="I173" s="2" t="s">
        <v>30</v>
      </c>
      <c r="J173" s="2" t="s">
        <v>687</v>
      </c>
      <c r="K173" s="2" t="s">
        <v>22</v>
      </c>
      <c r="L173" s="2" t="s">
        <v>193</v>
      </c>
      <c r="M173" s="3">
        <v>1</v>
      </c>
      <c r="N173" s="3">
        <v>1</v>
      </c>
      <c r="O173" s="9" t="s">
        <v>24</v>
      </c>
      <c r="P173" s="3">
        <v>-544.36</v>
      </c>
    </row>
    <row r="174" spans="1:16" x14ac:dyDescent="0.3">
      <c r="A174" s="2" t="s">
        <v>688</v>
      </c>
      <c r="B174" s="2" t="s">
        <v>689</v>
      </c>
      <c r="C174" s="2" t="s">
        <v>18</v>
      </c>
      <c r="D174" s="5">
        <v>40.97692</v>
      </c>
      <c r="E174" s="5">
        <v>35.658059999999999</v>
      </c>
      <c r="F174" s="2" t="s">
        <v>690</v>
      </c>
      <c r="G174" s="2" t="s">
        <v>28</v>
      </c>
      <c r="H174" s="2" t="s">
        <v>29</v>
      </c>
      <c r="I174" s="2" t="s">
        <v>30</v>
      </c>
      <c r="J174" s="2" t="s">
        <v>691</v>
      </c>
      <c r="K174" s="2" t="s">
        <v>22</v>
      </c>
      <c r="L174" s="2" t="s">
        <v>193</v>
      </c>
      <c r="M174" s="3">
        <v>0</v>
      </c>
      <c r="N174" s="3">
        <v>0</v>
      </c>
      <c r="O174" s="9" t="s">
        <v>54</v>
      </c>
      <c r="P174" s="3">
        <v>0</v>
      </c>
    </row>
    <row r="175" spans="1:16" x14ac:dyDescent="0.3">
      <c r="A175" s="2" t="s">
        <v>692</v>
      </c>
      <c r="B175" s="2" t="s">
        <v>693</v>
      </c>
      <c r="C175" s="2" t="s">
        <v>18</v>
      </c>
      <c r="D175" s="5">
        <v>41.209468200000003</v>
      </c>
      <c r="E175" s="5">
        <v>36.464123299999997</v>
      </c>
      <c r="F175" s="2" t="s">
        <v>694</v>
      </c>
      <c r="G175" s="2" t="s">
        <v>28</v>
      </c>
      <c r="H175" s="2" t="s">
        <v>29</v>
      </c>
      <c r="I175" s="2" t="s">
        <v>30</v>
      </c>
      <c r="J175" s="2" t="s">
        <v>695</v>
      </c>
      <c r="K175" s="2" t="s">
        <v>22</v>
      </c>
      <c r="L175" s="2" t="s">
        <v>39</v>
      </c>
      <c r="M175" s="3">
        <v>1</v>
      </c>
      <c r="N175" s="3">
        <v>1</v>
      </c>
      <c r="O175" s="9" t="s">
        <v>24</v>
      </c>
      <c r="P175" s="3">
        <v>0</v>
      </c>
    </row>
    <row r="176" spans="1:16" x14ac:dyDescent="0.3">
      <c r="A176" s="2" t="s">
        <v>696</v>
      </c>
      <c r="B176" s="2" t="s">
        <v>697</v>
      </c>
      <c r="C176" s="2" t="s">
        <v>18</v>
      </c>
      <c r="D176" s="5">
        <v>41.274908799999999</v>
      </c>
      <c r="E176" s="5">
        <v>36.345169499999997</v>
      </c>
      <c r="F176" s="2" t="s">
        <v>698</v>
      </c>
      <c r="G176" s="2" t="s">
        <v>28</v>
      </c>
      <c r="H176" s="2" t="s">
        <v>29</v>
      </c>
      <c r="I176" s="2" t="s">
        <v>30</v>
      </c>
      <c r="J176" s="2" t="s">
        <v>699</v>
      </c>
      <c r="K176" s="2" t="s">
        <v>22</v>
      </c>
      <c r="L176" s="2" t="s">
        <v>32</v>
      </c>
      <c r="M176" s="3">
        <v>1</v>
      </c>
      <c r="N176" s="3">
        <v>1</v>
      </c>
      <c r="O176" s="9" t="s">
        <v>24</v>
      </c>
      <c r="P176" s="3">
        <v>278.64999999999998</v>
      </c>
    </row>
    <row r="177" spans="1:16" x14ac:dyDescent="0.3">
      <c r="A177" s="2" t="s">
        <v>700</v>
      </c>
      <c r="B177" s="2" t="s">
        <v>701</v>
      </c>
      <c r="C177" s="2" t="s">
        <v>18</v>
      </c>
      <c r="D177" s="5">
        <v>41.271163299999998</v>
      </c>
      <c r="E177" s="5">
        <v>36.350785000000002</v>
      </c>
      <c r="F177" s="3"/>
      <c r="G177" s="2" t="s">
        <v>19</v>
      </c>
      <c r="H177" s="2" t="s">
        <v>20</v>
      </c>
      <c r="I177" s="2" t="s">
        <v>19</v>
      </c>
      <c r="J177" s="2" t="s">
        <v>702</v>
      </c>
      <c r="K177" s="2" t="s">
        <v>22</v>
      </c>
      <c r="L177" s="2" t="s">
        <v>112</v>
      </c>
      <c r="M177" s="3">
        <v>0</v>
      </c>
      <c r="N177" s="3">
        <v>1</v>
      </c>
      <c r="O177" s="9" t="s">
        <v>24</v>
      </c>
      <c r="P177" s="3">
        <v>0</v>
      </c>
    </row>
    <row r="178" spans="1:16" x14ac:dyDescent="0.3">
      <c r="A178" s="2" t="s">
        <v>703</v>
      </c>
      <c r="B178" s="2" t="s">
        <v>704</v>
      </c>
      <c r="C178" s="2" t="s">
        <v>18</v>
      </c>
      <c r="D178" s="5">
        <v>41.333000585500002</v>
      </c>
      <c r="E178" s="5">
        <v>36.282474196499997</v>
      </c>
      <c r="F178" s="3"/>
      <c r="G178" s="2" t="s">
        <v>20</v>
      </c>
      <c r="H178" s="2" t="s">
        <v>20</v>
      </c>
      <c r="I178" s="2" t="s">
        <v>705</v>
      </c>
      <c r="J178" s="2" t="s">
        <v>706</v>
      </c>
      <c r="K178" s="2" t="s">
        <v>22</v>
      </c>
      <c r="L178" s="2" t="s">
        <v>23</v>
      </c>
      <c r="M178" s="3">
        <v>1</v>
      </c>
      <c r="N178" s="3">
        <v>1</v>
      </c>
      <c r="O178" s="9" t="s">
        <v>54</v>
      </c>
      <c r="P178" s="3">
        <v>0</v>
      </c>
    </row>
    <row r="179" spans="1:16" x14ac:dyDescent="0.3">
      <c r="A179" s="2" t="s">
        <v>707</v>
      </c>
      <c r="B179" s="2" t="s">
        <v>708</v>
      </c>
      <c r="C179" s="2" t="s">
        <v>18</v>
      </c>
      <c r="D179" s="5">
        <v>41.299870900000002</v>
      </c>
      <c r="E179" s="5">
        <v>36.3297898</v>
      </c>
      <c r="F179" s="2" t="s">
        <v>709</v>
      </c>
      <c r="G179" s="2" t="s">
        <v>28</v>
      </c>
      <c r="H179" s="2" t="s">
        <v>36</v>
      </c>
      <c r="I179" s="2" t="s">
        <v>37</v>
      </c>
      <c r="J179" s="2" t="s">
        <v>710</v>
      </c>
      <c r="K179" s="2" t="s">
        <v>22</v>
      </c>
      <c r="L179" s="2" t="s">
        <v>32</v>
      </c>
      <c r="M179" s="3">
        <v>0</v>
      </c>
      <c r="N179" s="3">
        <v>1</v>
      </c>
      <c r="O179" s="9" t="s">
        <v>24</v>
      </c>
      <c r="P179" s="3">
        <v>0.01</v>
      </c>
    </row>
    <row r="180" spans="1:16" x14ac:dyDescent="0.3">
      <c r="A180" s="2" t="s">
        <v>711</v>
      </c>
      <c r="B180" s="2" t="s">
        <v>712</v>
      </c>
      <c r="C180" s="2" t="s">
        <v>18</v>
      </c>
      <c r="D180" s="5">
        <v>41.331413481406997</v>
      </c>
      <c r="E180" s="5">
        <v>36.290821828977997</v>
      </c>
      <c r="F180" s="3"/>
      <c r="G180" s="2" t="s">
        <v>19</v>
      </c>
      <c r="H180" s="2" t="s">
        <v>20</v>
      </c>
      <c r="I180" s="2" t="s">
        <v>19</v>
      </c>
      <c r="J180" s="2" t="s">
        <v>713</v>
      </c>
      <c r="K180" s="2" t="s">
        <v>22</v>
      </c>
      <c r="L180" s="2" t="s">
        <v>23</v>
      </c>
      <c r="M180" s="3">
        <v>1</v>
      </c>
      <c r="N180" s="3">
        <v>1</v>
      </c>
      <c r="O180" s="9" t="s">
        <v>24</v>
      </c>
      <c r="P180" s="3">
        <v>0</v>
      </c>
    </row>
    <row r="181" spans="1:16" x14ac:dyDescent="0.3">
      <c r="A181" s="2" t="s">
        <v>714</v>
      </c>
      <c r="B181" s="2" t="s">
        <v>715</v>
      </c>
      <c r="C181" s="2" t="s">
        <v>18</v>
      </c>
      <c r="D181" s="5">
        <v>41.259794900000003</v>
      </c>
      <c r="E181" s="5">
        <v>36.348659099999999</v>
      </c>
      <c r="F181" s="2" t="s">
        <v>716</v>
      </c>
      <c r="G181" s="2" t="s">
        <v>28</v>
      </c>
      <c r="H181" s="2" t="s">
        <v>29</v>
      </c>
      <c r="I181" s="2" t="s">
        <v>30</v>
      </c>
      <c r="J181" s="2" t="s">
        <v>717</v>
      </c>
      <c r="K181" s="2" t="s">
        <v>22</v>
      </c>
      <c r="L181" s="2" t="s">
        <v>99</v>
      </c>
      <c r="M181" s="3">
        <v>1</v>
      </c>
      <c r="N181" s="3">
        <v>1</v>
      </c>
      <c r="O181" s="9" t="s">
        <v>54</v>
      </c>
      <c r="P181" s="3">
        <v>18.23</v>
      </c>
    </row>
    <row r="182" spans="1:16" x14ac:dyDescent="0.3">
      <c r="A182" s="2" t="s">
        <v>718</v>
      </c>
      <c r="B182" s="2" t="s">
        <v>719</v>
      </c>
      <c r="C182" s="2" t="s">
        <v>18</v>
      </c>
      <c r="D182" s="5">
        <v>41.436414399999997</v>
      </c>
      <c r="E182" s="5">
        <v>36.0486456</v>
      </c>
      <c r="F182" s="2" t="s">
        <v>720</v>
      </c>
      <c r="G182" s="2" t="s">
        <v>28</v>
      </c>
      <c r="H182" s="2" t="s">
        <v>29</v>
      </c>
      <c r="I182" s="2" t="s">
        <v>30</v>
      </c>
      <c r="J182" s="2" t="s">
        <v>721</v>
      </c>
      <c r="K182" s="2" t="s">
        <v>22</v>
      </c>
      <c r="L182" s="2" t="s">
        <v>394</v>
      </c>
      <c r="M182" s="3">
        <v>1</v>
      </c>
      <c r="N182" s="3">
        <v>1</v>
      </c>
      <c r="O182" s="9" t="s">
        <v>24</v>
      </c>
      <c r="P182" s="3">
        <v>-1.18</v>
      </c>
    </row>
    <row r="183" spans="1:16" x14ac:dyDescent="0.3">
      <c r="A183" s="2" t="s">
        <v>722</v>
      </c>
      <c r="B183" s="2" t="s">
        <v>723</v>
      </c>
      <c r="C183" s="2" t="s">
        <v>18</v>
      </c>
      <c r="D183" s="5">
        <v>41.5705928</v>
      </c>
      <c r="E183" s="5">
        <v>35.891214599999998</v>
      </c>
      <c r="F183" s="2" t="s">
        <v>724</v>
      </c>
      <c r="G183" s="2" t="s">
        <v>28</v>
      </c>
      <c r="H183" s="2" t="s">
        <v>29</v>
      </c>
      <c r="I183" s="2" t="s">
        <v>30</v>
      </c>
      <c r="J183" s="2" t="s">
        <v>725</v>
      </c>
      <c r="K183" s="2" t="s">
        <v>22</v>
      </c>
      <c r="L183" s="2" t="s">
        <v>53</v>
      </c>
      <c r="M183" s="3">
        <v>2</v>
      </c>
      <c r="N183" s="3">
        <v>1</v>
      </c>
      <c r="O183" s="9" t="s">
        <v>24</v>
      </c>
      <c r="P183" s="3">
        <v>-1.68</v>
      </c>
    </row>
    <row r="184" spans="1:16" x14ac:dyDescent="0.3">
      <c r="A184" s="2" t="s">
        <v>726</v>
      </c>
      <c r="B184" s="2" t="s">
        <v>727</v>
      </c>
      <c r="C184" s="2" t="s">
        <v>18</v>
      </c>
      <c r="D184" s="5">
        <v>41.476148100000003</v>
      </c>
      <c r="E184" s="5">
        <v>35.875165099999997</v>
      </c>
      <c r="F184" s="2" t="s">
        <v>728</v>
      </c>
      <c r="G184" s="2" t="s">
        <v>28</v>
      </c>
      <c r="H184" s="2" t="s">
        <v>29</v>
      </c>
      <c r="I184" s="2" t="s">
        <v>30</v>
      </c>
      <c r="J184" s="2" t="s">
        <v>729</v>
      </c>
      <c r="K184" s="2" t="s">
        <v>22</v>
      </c>
      <c r="L184" s="2" t="s">
        <v>53</v>
      </c>
      <c r="M184" s="3">
        <v>0</v>
      </c>
      <c r="N184" s="3">
        <v>0</v>
      </c>
      <c r="O184" s="9" t="s">
        <v>24</v>
      </c>
      <c r="P184" s="3">
        <v>0</v>
      </c>
    </row>
    <row r="185" spans="1:16" x14ac:dyDescent="0.3">
      <c r="A185" s="2" t="s">
        <v>730</v>
      </c>
      <c r="B185" s="2" t="s">
        <v>731</v>
      </c>
      <c r="C185" s="2" t="s">
        <v>18</v>
      </c>
      <c r="D185" s="5">
        <v>41.4161833</v>
      </c>
      <c r="E185" s="5">
        <v>35.801189600000001</v>
      </c>
      <c r="F185" s="2" t="s">
        <v>732</v>
      </c>
      <c r="G185" s="2" t="s">
        <v>28</v>
      </c>
      <c r="H185" s="2" t="s">
        <v>36</v>
      </c>
      <c r="I185" s="2" t="s">
        <v>37</v>
      </c>
      <c r="J185" s="2" t="s">
        <v>733</v>
      </c>
      <c r="K185" s="2" t="s">
        <v>22</v>
      </c>
      <c r="L185" s="2" t="s">
        <v>53</v>
      </c>
      <c r="M185" s="3">
        <v>1</v>
      </c>
      <c r="N185" s="3">
        <v>1</v>
      </c>
      <c r="O185" s="9" t="s">
        <v>24</v>
      </c>
      <c r="P185" s="3">
        <v>-13406.89</v>
      </c>
    </row>
    <row r="186" spans="1:16" x14ac:dyDescent="0.3">
      <c r="A186" s="2" t="s">
        <v>734</v>
      </c>
      <c r="B186" s="2" t="s">
        <v>735</v>
      </c>
      <c r="C186" s="2" t="s">
        <v>18</v>
      </c>
      <c r="D186" s="5">
        <v>41.532364200000004</v>
      </c>
      <c r="E186" s="5">
        <v>35.882999300000002</v>
      </c>
      <c r="F186" s="2" t="s">
        <v>736</v>
      </c>
      <c r="G186" s="2" t="s">
        <v>28</v>
      </c>
      <c r="H186" s="2" t="s">
        <v>29</v>
      </c>
      <c r="I186" s="2" t="s">
        <v>30</v>
      </c>
      <c r="J186" s="2" t="s">
        <v>737</v>
      </c>
      <c r="K186" s="2" t="s">
        <v>22</v>
      </c>
      <c r="L186" s="2" t="s">
        <v>53</v>
      </c>
      <c r="M186" s="3">
        <v>0</v>
      </c>
      <c r="N186" s="3">
        <v>1</v>
      </c>
      <c r="O186" s="9" t="s">
        <v>24</v>
      </c>
      <c r="P186" s="3">
        <v>0</v>
      </c>
    </row>
    <row r="187" spans="1:16" x14ac:dyDescent="0.3">
      <c r="A187" s="2" t="s">
        <v>738</v>
      </c>
      <c r="B187" s="2" t="s">
        <v>739</v>
      </c>
      <c r="C187" s="2" t="s">
        <v>18</v>
      </c>
      <c r="D187" s="5">
        <v>41.036133100000001</v>
      </c>
      <c r="E187" s="5">
        <v>36.234858099999997</v>
      </c>
      <c r="F187" s="2" t="s">
        <v>740</v>
      </c>
      <c r="G187" s="2" t="s">
        <v>28</v>
      </c>
      <c r="H187" s="2" t="s">
        <v>29</v>
      </c>
      <c r="I187" s="2" t="s">
        <v>30</v>
      </c>
      <c r="J187" s="2" t="s">
        <v>741</v>
      </c>
      <c r="K187" s="2" t="s">
        <v>22</v>
      </c>
      <c r="L187" s="2" t="s">
        <v>435</v>
      </c>
      <c r="M187" s="3">
        <v>2</v>
      </c>
      <c r="N187" s="3">
        <v>1</v>
      </c>
      <c r="O187" s="9" t="s">
        <v>24</v>
      </c>
      <c r="P187" s="3">
        <v>0.19</v>
      </c>
    </row>
    <row r="188" spans="1:16" x14ac:dyDescent="0.3">
      <c r="A188" s="2" t="s">
        <v>742</v>
      </c>
      <c r="B188" s="2" t="s">
        <v>743</v>
      </c>
      <c r="C188" s="2" t="s">
        <v>18</v>
      </c>
      <c r="D188" s="5">
        <v>41.2580782</v>
      </c>
      <c r="E188" s="5">
        <v>36.356181200000002</v>
      </c>
      <c r="F188" s="2" t="s">
        <v>744</v>
      </c>
      <c r="G188" s="2" t="s">
        <v>28</v>
      </c>
      <c r="H188" s="2" t="s">
        <v>29</v>
      </c>
      <c r="I188" s="2" t="s">
        <v>30</v>
      </c>
      <c r="J188" s="2" t="s">
        <v>745</v>
      </c>
      <c r="K188" s="2" t="s">
        <v>22</v>
      </c>
      <c r="L188" s="2" t="s">
        <v>99</v>
      </c>
      <c r="M188" s="3">
        <v>1</v>
      </c>
      <c r="N188" s="3">
        <v>1</v>
      </c>
      <c r="O188" s="9" t="s">
        <v>24</v>
      </c>
      <c r="P188" s="3">
        <v>0</v>
      </c>
    </row>
    <row r="189" spans="1:16" x14ac:dyDescent="0.3">
      <c r="A189" s="2" t="s">
        <v>746</v>
      </c>
      <c r="B189" s="2" t="s">
        <v>747</v>
      </c>
      <c r="C189" s="2" t="s">
        <v>18</v>
      </c>
      <c r="D189" s="5">
        <v>41.035399599999998</v>
      </c>
      <c r="E189" s="5">
        <v>36.236813099999999</v>
      </c>
      <c r="F189" s="2" t="s">
        <v>748</v>
      </c>
      <c r="G189" s="2" t="s">
        <v>28</v>
      </c>
      <c r="H189" s="2" t="s">
        <v>29</v>
      </c>
      <c r="I189" s="2" t="s">
        <v>30</v>
      </c>
      <c r="J189" s="2" t="s">
        <v>749</v>
      </c>
      <c r="K189" s="2" t="s">
        <v>22</v>
      </c>
      <c r="L189" s="2" t="s">
        <v>435</v>
      </c>
      <c r="M189" s="3">
        <v>1</v>
      </c>
      <c r="N189" s="3">
        <v>1</v>
      </c>
      <c r="O189" s="9" t="s">
        <v>24</v>
      </c>
      <c r="P189" s="3">
        <v>-0.17</v>
      </c>
    </row>
    <row r="190" spans="1:16" x14ac:dyDescent="0.3">
      <c r="A190" s="2" t="s">
        <v>750</v>
      </c>
      <c r="B190" s="2" t="s">
        <v>751</v>
      </c>
      <c r="C190" s="2" t="s">
        <v>18</v>
      </c>
      <c r="D190" s="5">
        <v>41.296730500000002</v>
      </c>
      <c r="E190" s="5">
        <v>36.326481100000002</v>
      </c>
      <c r="F190" s="2" t="s">
        <v>752</v>
      </c>
      <c r="G190" s="2" t="s">
        <v>28</v>
      </c>
      <c r="H190" s="2" t="s">
        <v>29</v>
      </c>
      <c r="I190" s="2" t="s">
        <v>30</v>
      </c>
      <c r="J190" s="2" t="s">
        <v>753</v>
      </c>
      <c r="K190" s="2" t="s">
        <v>22</v>
      </c>
      <c r="L190" s="2" t="s">
        <v>32</v>
      </c>
      <c r="M190" s="3">
        <v>1</v>
      </c>
      <c r="N190" s="3">
        <v>1</v>
      </c>
      <c r="O190" s="9" t="s">
        <v>24</v>
      </c>
      <c r="P190" s="3">
        <v>-0.17</v>
      </c>
    </row>
    <row r="191" spans="1:16" x14ac:dyDescent="0.3">
      <c r="A191" s="2" t="s">
        <v>754</v>
      </c>
      <c r="B191" s="2" t="s">
        <v>755</v>
      </c>
      <c r="C191" s="2" t="s">
        <v>18</v>
      </c>
      <c r="D191" s="5">
        <v>41.278376199999997</v>
      </c>
      <c r="E191" s="5">
        <v>36.326090700000002</v>
      </c>
      <c r="F191" s="2" t="s">
        <v>756</v>
      </c>
      <c r="G191" s="2" t="s">
        <v>28</v>
      </c>
      <c r="H191" s="2" t="s">
        <v>29</v>
      </c>
      <c r="I191" s="2" t="s">
        <v>30</v>
      </c>
      <c r="J191" s="2" t="s">
        <v>757</v>
      </c>
      <c r="K191" s="2" t="s">
        <v>22</v>
      </c>
      <c r="L191" s="2" t="s">
        <v>32</v>
      </c>
      <c r="M191" s="3">
        <v>1</v>
      </c>
      <c r="N191" s="3">
        <v>1</v>
      </c>
      <c r="O191" s="9" t="s">
        <v>24</v>
      </c>
      <c r="P191" s="3">
        <v>1274.8399999999999</v>
      </c>
    </row>
    <row r="192" spans="1:16" x14ac:dyDescent="0.3">
      <c r="A192" s="2" t="s">
        <v>758</v>
      </c>
      <c r="B192" s="2" t="s">
        <v>759</v>
      </c>
      <c r="C192" s="2" t="s">
        <v>18</v>
      </c>
      <c r="D192" s="5">
        <v>41.285662299999998</v>
      </c>
      <c r="E192" s="5">
        <v>36.324900300000003</v>
      </c>
      <c r="F192" s="2" t="s">
        <v>760</v>
      </c>
      <c r="G192" s="2" t="s">
        <v>28</v>
      </c>
      <c r="H192" s="2" t="s">
        <v>29</v>
      </c>
      <c r="I192" s="2" t="s">
        <v>30</v>
      </c>
      <c r="J192" s="2" t="s">
        <v>761</v>
      </c>
      <c r="K192" s="2" t="s">
        <v>22</v>
      </c>
      <c r="L192" s="2" t="s">
        <v>32</v>
      </c>
      <c r="M192" s="3">
        <v>0</v>
      </c>
      <c r="N192" s="3">
        <v>0</v>
      </c>
      <c r="O192" s="9" t="s">
        <v>24</v>
      </c>
      <c r="P192" s="3">
        <v>0</v>
      </c>
    </row>
    <row r="193" spans="1:16" x14ac:dyDescent="0.3">
      <c r="A193" s="2" t="s">
        <v>762</v>
      </c>
      <c r="B193" s="2" t="s">
        <v>763</v>
      </c>
      <c r="C193" s="2" t="s">
        <v>18</v>
      </c>
      <c r="D193" s="5">
        <v>41.28631</v>
      </c>
      <c r="E193" s="5">
        <v>36.315410300000003</v>
      </c>
      <c r="F193" s="2" t="s">
        <v>764</v>
      </c>
      <c r="G193" s="2" t="s">
        <v>28</v>
      </c>
      <c r="H193" s="2" t="s">
        <v>36</v>
      </c>
      <c r="I193" s="2" t="s">
        <v>37</v>
      </c>
      <c r="J193" s="2" t="s">
        <v>765</v>
      </c>
      <c r="K193" s="2" t="s">
        <v>22</v>
      </c>
      <c r="L193" s="2" t="s">
        <v>32</v>
      </c>
      <c r="M193" s="3">
        <v>1</v>
      </c>
      <c r="N193" s="3">
        <v>1</v>
      </c>
      <c r="O193" s="9" t="s">
        <v>24</v>
      </c>
      <c r="P193" s="3">
        <v>-545.4</v>
      </c>
    </row>
    <row r="194" spans="1:16" x14ac:dyDescent="0.3">
      <c r="A194" s="2" t="s">
        <v>766</v>
      </c>
      <c r="B194" s="2" t="s">
        <v>767</v>
      </c>
      <c r="C194" s="2" t="s">
        <v>18</v>
      </c>
      <c r="D194" s="5">
        <v>41.035540500000003</v>
      </c>
      <c r="E194" s="5">
        <v>36.233301099999998</v>
      </c>
      <c r="F194" s="2" t="s">
        <v>768</v>
      </c>
      <c r="G194" s="2" t="s">
        <v>28</v>
      </c>
      <c r="H194" s="2" t="s">
        <v>29</v>
      </c>
      <c r="I194" s="2" t="s">
        <v>30</v>
      </c>
      <c r="J194" s="2" t="s">
        <v>769</v>
      </c>
      <c r="K194" s="2" t="s">
        <v>22</v>
      </c>
      <c r="L194" s="2" t="s">
        <v>435</v>
      </c>
      <c r="M194" s="3">
        <v>1</v>
      </c>
      <c r="N194" s="3">
        <v>1</v>
      </c>
      <c r="O194" s="9" t="s">
        <v>24</v>
      </c>
      <c r="P194" s="3">
        <v>0</v>
      </c>
    </row>
    <row r="195" spans="1:16" x14ac:dyDescent="0.3">
      <c r="A195" s="2" t="s">
        <v>770</v>
      </c>
      <c r="B195" s="2" t="s">
        <v>771</v>
      </c>
      <c r="C195" s="2" t="s">
        <v>18</v>
      </c>
      <c r="D195" s="5">
        <v>41.197471299999997</v>
      </c>
      <c r="E195" s="5">
        <v>36.719704100000001</v>
      </c>
      <c r="F195" s="2" t="s">
        <v>772</v>
      </c>
      <c r="G195" s="2" t="s">
        <v>28</v>
      </c>
      <c r="H195" s="2" t="s">
        <v>29</v>
      </c>
      <c r="I195" s="2" t="s">
        <v>30</v>
      </c>
      <c r="J195" s="2" t="s">
        <v>773</v>
      </c>
      <c r="K195" s="2" t="s">
        <v>22</v>
      </c>
      <c r="L195" s="2" t="s">
        <v>44</v>
      </c>
      <c r="M195" s="3">
        <v>1</v>
      </c>
      <c r="N195" s="3">
        <v>1</v>
      </c>
      <c r="O195" s="9" t="s">
        <v>54</v>
      </c>
      <c r="P195" s="3">
        <v>-1158</v>
      </c>
    </row>
    <row r="196" spans="1:16" x14ac:dyDescent="0.3">
      <c r="A196" s="2" t="s">
        <v>774</v>
      </c>
      <c r="B196" s="2" t="s">
        <v>775</v>
      </c>
      <c r="C196" s="2" t="s">
        <v>18</v>
      </c>
      <c r="D196" s="5">
        <v>41.204666400000001</v>
      </c>
      <c r="E196" s="5">
        <v>36.729452199999997</v>
      </c>
      <c r="F196" s="2" t="s">
        <v>776</v>
      </c>
      <c r="G196" s="2" t="s">
        <v>28</v>
      </c>
      <c r="H196" s="2" t="s">
        <v>29</v>
      </c>
      <c r="I196" s="2" t="s">
        <v>30</v>
      </c>
      <c r="J196" s="2" t="s">
        <v>777</v>
      </c>
      <c r="K196" s="2" t="s">
        <v>22</v>
      </c>
      <c r="L196" s="2" t="s">
        <v>44</v>
      </c>
      <c r="M196" s="3">
        <v>1</v>
      </c>
      <c r="N196" s="3">
        <v>1</v>
      </c>
      <c r="O196" s="9" t="s">
        <v>24</v>
      </c>
      <c r="P196" s="3">
        <v>-584.76</v>
      </c>
    </row>
    <row r="197" spans="1:16" x14ac:dyDescent="0.3">
      <c r="A197" s="2" t="s">
        <v>778</v>
      </c>
      <c r="B197" s="2" t="s">
        <v>779</v>
      </c>
      <c r="C197" s="2" t="s">
        <v>18</v>
      </c>
      <c r="D197" s="5">
        <v>41.176506799999999</v>
      </c>
      <c r="E197" s="5">
        <v>36.748196999999998</v>
      </c>
      <c r="F197" s="2" t="s">
        <v>780</v>
      </c>
      <c r="G197" s="2" t="s">
        <v>28</v>
      </c>
      <c r="H197" s="2" t="s">
        <v>29</v>
      </c>
      <c r="I197" s="2" t="s">
        <v>30</v>
      </c>
      <c r="J197" s="2" t="s">
        <v>781</v>
      </c>
      <c r="K197" s="2" t="s">
        <v>22</v>
      </c>
      <c r="L197" s="2" t="s">
        <v>44</v>
      </c>
      <c r="M197" s="3">
        <v>1</v>
      </c>
      <c r="N197" s="3">
        <v>1</v>
      </c>
      <c r="O197" s="9" t="s">
        <v>24</v>
      </c>
      <c r="P197" s="3">
        <v>0</v>
      </c>
    </row>
    <row r="198" spans="1:16" x14ac:dyDescent="0.3">
      <c r="A198" s="2" t="s">
        <v>782</v>
      </c>
      <c r="B198" s="2" t="s">
        <v>783</v>
      </c>
      <c r="C198" s="2" t="s">
        <v>18</v>
      </c>
      <c r="D198" s="5">
        <v>41.196430700000001</v>
      </c>
      <c r="E198" s="5">
        <v>36.722039799999997</v>
      </c>
      <c r="F198" s="2" t="s">
        <v>784</v>
      </c>
      <c r="G198" s="2" t="s">
        <v>28</v>
      </c>
      <c r="H198" s="2" t="s">
        <v>36</v>
      </c>
      <c r="I198" s="2" t="s">
        <v>37</v>
      </c>
      <c r="J198" s="2" t="s">
        <v>785</v>
      </c>
      <c r="K198" s="2" t="s">
        <v>22</v>
      </c>
      <c r="L198" s="2" t="s">
        <v>44</v>
      </c>
      <c r="M198" s="3">
        <v>2</v>
      </c>
      <c r="N198" s="3">
        <v>1</v>
      </c>
      <c r="O198" s="9" t="s">
        <v>24</v>
      </c>
      <c r="P198" s="3">
        <v>-3325.05</v>
      </c>
    </row>
    <row r="199" spans="1:16" x14ac:dyDescent="0.3">
      <c r="A199" s="2" t="s">
        <v>786</v>
      </c>
      <c r="B199" s="2" t="s">
        <v>787</v>
      </c>
      <c r="C199" s="2" t="s">
        <v>18</v>
      </c>
      <c r="D199" s="5">
        <v>41.189169900000003</v>
      </c>
      <c r="E199" s="5">
        <v>36.719495700000003</v>
      </c>
      <c r="F199" s="2" t="s">
        <v>788</v>
      </c>
      <c r="G199" s="2" t="s">
        <v>28</v>
      </c>
      <c r="H199" s="2" t="s">
        <v>29</v>
      </c>
      <c r="I199" s="2" t="s">
        <v>30</v>
      </c>
      <c r="J199" s="2" t="s">
        <v>789</v>
      </c>
      <c r="K199" s="2" t="s">
        <v>22</v>
      </c>
      <c r="L199" s="2" t="s">
        <v>44</v>
      </c>
      <c r="M199" s="3">
        <v>0</v>
      </c>
      <c r="N199" s="3">
        <v>1</v>
      </c>
      <c r="O199" s="9" t="s">
        <v>24</v>
      </c>
      <c r="P199" s="3">
        <v>-3904.39</v>
      </c>
    </row>
    <row r="200" spans="1:16" x14ac:dyDescent="0.3">
      <c r="A200" s="2" t="s">
        <v>790</v>
      </c>
      <c r="B200" s="2" t="s">
        <v>791</v>
      </c>
      <c r="C200" s="2" t="s">
        <v>18</v>
      </c>
      <c r="D200" s="5">
        <v>41.1548886</v>
      </c>
      <c r="E200" s="5">
        <v>36.643635799999998</v>
      </c>
      <c r="F200" s="2" t="s">
        <v>792</v>
      </c>
      <c r="G200" s="2" t="s">
        <v>28</v>
      </c>
      <c r="H200" s="2" t="s">
        <v>29</v>
      </c>
      <c r="I200" s="2" t="s">
        <v>30</v>
      </c>
      <c r="J200" s="2" t="s">
        <v>793</v>
      </c>
      <c r="K200" s="2" t="s">
        <v>22</v>
      </c>
      <c r="L200" s="2" t="s">
        <v>44</v>
      </c>
      <c r="M200" s="3">
        <v>1</v>
      </c>
      <c r="N200" s="3">
        <v>1</v>
      </c>
      <c r="O200" s="9" t="s">
        <v>54</v>
      </c>
      <c r="P200" s="3">
        <v>-21.43</v>
      </c>
    </row>
    <row r="201" spans="1:16" x14ac:dyDescent="0.3">
      <c r="A201" s="2" t="s">
        <v>794</v>
      </c>
      <c r="B201" s="2" t="s">
        <v>795</v>
      </c>
      <c r="C201" s="2" t="s">
        <v>18</v>
      </c>
      <c r="D201" s="5">
        <v>41.188082700000002</v>
      </c>
      <c r="E201" s="5">
        <v>36.680040400000003</v>
      </c>
      <c r="F201" s="2" t="s">
        <v>796</v>
      </c>
      <c r="G201" s="2" t="s">
        <v>28</v>
      </c>
      <c r="H201" s="2" t="s">
        <v>29</v>
      </c>
      <c r="I201" s="2" t="s">
        <v>30</v>
      </c>
      <c r="J201" s="2" t="s">
        <v>797</v>
      </c>
      <c r="K201" s="2" t="s">
        <v>22</v>
      </c>
      <c r="L201" s="2" t="s">
        <v>44</v>
      </c>
      <c r="M201" s="3">
        <v>2</v>
      </c>
      <c r="N201" s="3">
        <v>1</v>
      </c>
      <c r="O201" s="9" t="s">
        <v>24</v>
      </c>
      <c r="P201" s="3">
        <v>-2404.86</v>
      </c>
    </row>
    <row r="202" spans="1:16" x14ac:dyDescent="0.3">
      <c r="A202" s="2" t="s">
        <v>798</v>
      </c>
      <c r="B202" s="2" t="s">
        <v>799</v>
      </c>
      <c r="C202" s="2" t="s">
        <v>18</v>
      </c>
      <c r="D202" s="5">
        <v>41.153570600000002</v>
      </c>
      <c r="E202" s="5">
        <v>37.108301900000001</v>
      </c>
      <c r="F202" s="2" t="s">
        <v>800</v>
      </c>
      <c r="G202" s="2" t="s">
        <v>28</v>
      </c>
      <c r="H202" s="2" t="s">
        <v>318</v>
      </c>
      <c r="I202" s="2" t="s">
        <v>409</v>
      </c>
      <c r="J202" s="2" t="s">
        <v>801</v>
      </c>
      <c r="K202" s="2" t="s">
        <v>22</v>
      </c>
      <c r="L202" s="2" t="s">
        <v>328</v>
      </c>
      <c r="M202" s="3">
        <v>1</v>
      </c>
      <c r="N202" s="3">
        <v>1</v>
      </c>
      <c r="O202" s="9" t="s">
        <v>24</v>
      </c>
      <c r="P202" s="3">
        <v>0</v>
      </c>
    </row>
    <row r="203" spans="1:16" x14ac:dyDescent="0.3">
      <c r="A203" s="2" t="s">
        <v>802</v>
      </c>
      <c r="B203" s="2" t="s">
        <v>803</v>
      </c>
      <c r="C203" s="2" t="s">
        <v>18</v>
      </c>
      <c r="D203" s="5">
        <v>41.1259716</v>
      </c>
      <c r="E203" s="5">
        <v>37.277088300000003</v>
      </c>
      <c r="F203" s="2" t="s">
        <v>804</v>
      </c>
      <c r="G203" s="2" t="s">
        <v>28</v>
      </c>
      <c r="H203" s="2" t="s">
        <v>29</v>
      </c>
      <c r="I203" s="2" t="s">
        <v>30</v>
      </c>
      <c r="J203" s="2" t="s">
        <v>805</v>
      </c>
      <c r="K203" s="2" t="s">
        <v>63</v>
      </c>
      <c r="L203" s="2" t="s">
        <v>89</v>
      </c>
      <c r="M203" s="3">
        <v>1</v>
      </c>
      <c r="N203" s="3">
        <v>1</v>
      </c>
      <c r="O203" s="9" t="s">
        <v>24</v>
      </c>
      <c r="P203" s="3">
        <v>0</v>
      </c>
    </row>
    <row r="204" spans="1:16" x14ac:dyDescent="0.3">
      <c r="A204" s="2" t="s">
        <v>806</v>
      </c>
      <c r="B204" s="2" t="s">
        <v>807</v>
      </c>
      <c r="C204" s="2" t="s">
        <v>18</v>
      </c>
      <c r="D204" s="5">
        <v>41.120717599999999</v>
      </c>
      <c r="E204" s="5">
        <v>37.273510700000003</v>
      </c>
      <c r="F204" s="2" t="s">
        <v>808</v>
      </c>
      <c r="G204" s="2" t="s">
        <v>28</v>
      </c>
      <c r="H204" s="2" t="s">
        <v>29</v>
      </c>
      <c r="I204" s="2" t="s">
        <v>30</v>
      </c>
      <c r="J204" s="2" t="s">
        <v>809</v>
      </c>
      <c r="K204" s="2" t="s">
        <v>63</v>
      </c>
      <c r="L204" s="2" t="s">
        <v>89</v>
      </c>
      <c r="M204" s="3">
        <v>2</v>
      </c>
      <c r="N204" s="3">
        <v>1</v>
      </c>
      <c r="O204" s="9" t="s">
        <v>54</v>
      </c>
      <c r="P204" s="3">
        <v>-0.1</v>
      </c>
    </row>
    <row r="205" spans="1:16" x14ac:dyDescent="0.3">
      <c r="A205" s="2" t="s">
        <v>810</v>
      </c>
      <c r="B205" s="2" t="s">
        <v>811</v>
      </c>
      <c r="C205" s="2" t="s">
        <v>18</v>
      </c>
      <c r="D205" s="5">
        <v>41.2171077</v>
      </c>
      <c r="E205" s="5">
        <v>36.969000800000003</v>
      </c>
      <c r="F205" s="2" t="s">
        <v>812</v>
      </c>
      <c r="G205" s="2" t="s">
        <v>28</v>
      </c>
      <c r="H205" s="2" t="s">
        <v>29</v>
      </c>
      <c r="I205" s="2" t="s">
        <v>30</v>
      </c>
      <c r="J205" s="2" t="s">
        <v>813</v>
      </c>
      <c r="K205" s="2" t="s">
        <v>22</v>
      </c>
      <c r="L205" s="2" t="s">
        <v>328</v>
      </c>
      <c r="M205" s="3">
        <v>1</v>
      </c>
      <c r="N205" s="3">
        <v>1</v>
      </c>
      <c r="O205" s="9" t="s">
        <v>24</v>
      </c>
      <c r="P205" s="3">
        <v>-0.08</v>
      </c>
    </row>
    <row r="206" spans="1:16" x14ac:dyDescent="0.3">
      <c r="A206" s="2" t="s">
        <v>814</v>
      </c>
      <c r="B206" s="2" t="s">
        <v>815</v>
      </c>
      <c r="C206" s="2" t="s">
        <v>18</v>
      </c>
      <c r="D206" s="5">
        <v>41.121614000000001</v>
      </c>
      <c r="E206" s="5">
        <v>37.276047499999997</v>
      </c>
      <c r="F206" s="2" t="s">
        <v>816</v>
      </c>
      <c r="G206" s="2" t="s">
        <v>28</v>
      </c>
      <c r="H206" s="2" t="s">
        <v>29</v>
      </c>
      <c r="I206" s="2" t="s">
        <v>30</v>
      </c>
      <c r="J206" s="2" t="s">
        <v>817</v>
      </c>
      <c r="K206" s="2" t="s">
        <v>22</v>
      </c>
      <c r="L206" s="2" t="s">
        <v>328</v>
      </c>
      <c r="M206" s="3">
        <v>2</v>
      </c>
      <c r="N206" s="3">
        <v>1</v>
      </c>
      <c r="O206" s="9" t="s">
        <v>24</v>
      </c>
      <c r="P206" s="3">
        <v>1244.76</v>
      </c>
    </row>
    <row r="207" spans="1:16" x14ac:dyDescent="0.3">
      <c r="A207" s="2" t="s">
        <v>818</v>
      </c>
      <c r="B207" s="2" t="s">
        <v>819</v>
      </c>
      <c r="C207" s="2" t="s">
        <v>18</v>
      </c>
      <c r="D207" s="5">
        <v>41.258751099999998</v>
      </c>
      <c r="E207" s="5">
        <v>36.952503999999998</v>
      </c>
      <c r="F207" s="2" t="s">
        <v>820</v>
      </c>
      <c r="G207" s="2" t="s">
        <v>28</v>
      </c>
      <c r="H207" s="2" t="s">
        <v>29</v>
      </c>
      <c r="I207" s="2" t="s">
        <v>30</v>
      </c>
      <c r="J207" s="2" t="s">
        <v>821</v>
      </c>
      <c r="K207" s="2" t="s">
        <v>22</v>
      </c>
      <c r="L207" s="2" t="s">
        <v>328</v>
      </c>
      <c r="M207" s="3">
        <v>0</v>
      </c>
      <c r="N207" s="3">
        <v>1</v>
      </c>
      <c r="O207" s="9" t="s">
        <v>24</v>
      </c>
      <c r="P207" s="3">
        <v>-1767.61</v>
      </c>
    </row>
    <row r="208" spans="1:16" x14ac:dyDescent="0.3">
      <c r="A208" s="2" t="s">
        <v>822</v>
      </c>
      <c r="B208" s="2" t="s">
        <v>823</v>
      </c>
      <c r="C208" s="2" t="s">
        <v>18</v>
      </c>
      <c r="D208" s="5">
        <v>40.994904699999999</v>
      </c>
      <c r="E208" s="5">
        <v>37.174803500000003</v>
      </c>
      <c r="F208" s="2" t="s">
        <v>824</v>
      </c>
      <c r="G208" s="2" t="s">
        <v>28</v>
      </c>
      <c r="H208" s="2" t="s">
        <v>36</v>
      </c>
      <c r="I208" s="2" t="s">
        <v>37</v>
      </c>
      <c r="J208" s="2" t="s">
        <v>825</v>
      </c>
      <c r="K208" s="2" t="s">
        <v>63</v>
      </c>
      <c r="L208" s="2" t="s">
        <v>89</v>
      </c>
      <c r="M208" s="3">
        <v>2</v>
      </c>
      <c r="N208" s="3">
        <v>1</v>
      </c>
      <c r="O208" s="9" t="s">
        <v>24</v>
      </c>
      <c r="P208" s="3">
        <v>-3.23</v>
      </c>
    </row>
    <row r="209" spans="1:16" x14ac:dyDescent="0.3">
      <c r="A209" s="2" t="s">
        <v>826</v>
      </c>
      <c r="B209" s="2" t="s">
        <v>827</v>
      </c>
      <c r="C209" s="2" t="s">
        <v>18</v>
      </c>
      <c r="D209" s="5">
        <v>42.022215500000001</v>
      </c>
      <c r="E209" s="5">
        <v>35.157854100000002</v>
      </c>
      <c r="F209" s="2" t="s">
        <v>828</v>
      </c>
      <c r="G209" s="2" t="s">
        <v>28</v>
      </c>
      <c r="H209" s="2" t="s">
        <v>29</v>
      </c>
      <c r="I209" s="2" t="s">
        <v>30</v>
      </c>
      <c r="J209" s="2" t="s">
        <v>829</v>
      </c>
      <c r="K209" s="2" t="s">
        <v>154</v>
      </c>
      <c r="L209" s="2" t="s">
        <v>155</v>
      </c>
      <c r="M209" s="3">
        <v>1</v>
      </c>
      <c r="N209" s="3">
        <v>1</v>
      </c>
      <c r="O209" s="9" t="s">
        <v>24</v>
      </c>
      <c r="P209" s="3">
        <v>0</v>
      </c>
    </row>
    <row r="210" spans="1:16" x14ac:dyDescent="0.3">
      <c r="A210" s="2" t="s">
        <v>830</v>
      </c>
      <c r="B210" s="2" t="s">
        <v>831</v>
      </c>
      <c r="C210" s="2" t="s">
        <v>18</v>
      </c>
      <c r="D210" s="5">
        <v>42.007403500000002</v>
      </c>
      <c r="E210" s="5">
        <v>35.116223300000001</v>
      </c>
      <c r="F210" s="2" t="s">
        <v>832</v>
      </c>
      <c r="G210" s="2" t="s">
        <v>28</v>
      </c>
      <c r="H210" s="2" t="s">
        <v>36</v>
      </c>
      <c r="I210" s="2" t="s">
        <v>37</v>
      </c>
      <c r="J210" s="2" t="s">
        <v>833</v>
      </c>
      <c r="K210" s="2" t="s">
        <v>154</v>
      </c>
      <c r="L210" s="2" t="s">
        <v>155</v>
      </c>
      <c r="M210" s="3">
        <v>1</v>
      </c>
      <c r="N210" s="3">
        <v>1</v>
      </c>
      <c r="O210" s="9" t="s">
        <v>24</v>
      </c>
      <c r="P210" s="3">
        <v>0</v>
      </c>
    </row>
    <row r="211" spans="1:16" x14ac:dyDescent="0.3">
      <c r="A211" s="2" t="s">
        <v>834</v>
      </c>
      <c r="B211" s="2" t="s">
        <v>835</v>
      </c>
      <c r="C211" s="2" t="s">
        <v>18</v>
      </c>
      <c r="D211" s="5">
        <v>41.347366000000001</v>
      </c>
      <c r="E211" s="5">
        <v>36.238612699999997</v>
      </c>
      <c r="F211" s="3"/>
      <c r="G211" s="2" t="s">
        <v>259</v>
      </c>
      <c r="H211" s="2" t="s">
        <v>260</v>
      </c>
      <c r="I211" s="2" t="s">
        <v>260</v>
      </c>
      <c r="J211" s="2" t="s">
        <v>836</v>
      </c>
      <c r="K211" s="2" t="s">
        <v>22</v>
      </c>
      <c r="L211" s="2" t="s">
        <v>23</v>
      </c>
      <c r="M211" s="3">
        <v>1</v>
      </c>
      <c r="N211" s="3">
        <v>1</v>
      </c>
      <c r="O211" s="9" t="s">
        <v>24</v>
      </c>
      <c r="P211" s="3">
        <v>0</v>
      </c>
    </row>
    <row r="212" spans="1:16" x14ac:dyDescent="0.3">
      <c r="A212" s="2" t="s">
        <v>837</v>
      </c>
      <c r="B212" s="2" t="s">
        <v>838</v>
      </c>
      <c r="C212" s="2" t="s">
        <v>18</v>
      </c>
      <c r="D212" s="5">
        <v>41.324006500000003</v>
      </c>
      <c r="E212" s="5">
        <v>36.252695799999998</v>
      </c>
      <c r="F212" s="3"/>
      <c r="G212" s="2" t="s">
        <v>259</v>
      </c>
      <c r="H212" s="2" t="s">
        <v>260</v>
      </c>
      <c r="I212" s="2" t="s">
        <v>260</v>
      </c>
      <c r="J212" s="2" t="s">
        <v>839</v>
      </c>
      <c r="K212" s="2" t="s">
        <v>22</v>
      </c>
      <c r="L212" s="2" t="s">
        <v>23</v>
      </c>
      <c r="M212" s="3">
        <v>1</v>
      </c>
      <c r="N212" s="3">
        <v>1</v>
      </c>
      <c r="O212" s="9" t="s">
        <v>24</v>
      </c>
      <c r="P212" s="3">
        <v>0</v>
      </c>
    </row>
    <row r="213" spans="1:16" x14ac:dyDescent="0.3">
      <c r="A213" s="2" t="s">
        <v>840</v>
      </c>
      <c r="B213" s="2" t="s">
        <v>841</v>
      </c>
      <c r="C213" s="2" t="s">
        <v>18</v>
      </c>
      <c r="D213" s="5">
        <v>41.271659200000002</v>
      </c>
      <c r="E213" s="5">
        <v>36.366416399999999</v>
      </c>
      <c r="F213" s="3"/>
      <c r="G213" s="2" t="s">
        <v>259</v>
      </c>
      <c r="H213" s="2" t="s">
        <v>260</v>
      </c>
      <c r="I213" s="2" t="s">
        <v>260</v>
      </c>
      <c r="J213" s="2" t="s">
        <v>842</v>
      </c>
      <c r="K213" s="2" t="s">
        <v>22</v>
      </c>
      <c r="L213" s="2" t="s">
        <v>99</v>
      </c>
      <c r="M213" s="3">
        <v>1</v>
      </c>
      <c r="N213" s="3">
        <v>1</v>
      </c>
      <c r="O213" s="9" t="s">
        <v>24</v>
      </c>
      <c r="P213" s="3">
        <v>0</v>
      </c>
    </row>
    <row r="214" spans="1:16" x14ac:dyDescent="0.3">
      <c r="A214" s="2" t="s">
        <v>843</v>
      </c>
      <c r="B214" s="2" t="s">
        <v>844</v>
      </c>
      <c r="C214" s="2" t="s">
        <v>18</v>
      </c>
      <c r="D214" s="5">
        <v>41.562670500000003</v>
      </c>
      <c r="E214" s="5">
        <v>35.9066002</v>
      </c>
      <c r="F214" s="3"/>
      <c r="G214" s="2" t="s">
        <v>259</v>
      </c>
      <c r="H214" s="2" t="s">
        <v>260</v>
      </c>
      <c r="I214" s="2" t="s">
        <v>260</v>
      </c>
      <c r="J214" s="2" t="s">
        <v>845</v>
      </c>
      <c r="K214" s="2" t="s">
        <v>22</v>
      </c>
      <c r="L214" s="2" t="s">
        <v>53</v>
      </c>
      <c r="M214" s="3">
        <v>0</v>
      </c>
      <c r="N214" s="3">
        <v>1</v>
      </c>
      <c r="O214" s="9" t="s">
        <v>24</v>
      </c>
      <c r="P214" s="3">
        <v>0</v>
      </c>
    </row>
    <row r="215" spans="1:16" x14ac:dyDescent="0.3">
      <c r="A215" s="2" t="s">
        <v>846</v>
      </c>
      <c r="B215" s="2" t="s">
        <v>847</v>
      </c>
      <c r="C215" s="2" t="s">
        <v>18</v>
      </c>
      <c r="D215" s="5">
        <v>41.2746864</v>
      </c>
      <c r="E215" s="5">
        <v>36.343546699999997</v>
      </c>
      <c r="F215" s="3"/>
      <c r="G215" s="2" t="s">
        <v>259</v>
      </c>
      <c r="H215" s="2" t="s">
        <v>260</v>
      </c>
      <c r="I215" s="2" t="s">
        <v>260</v>
      </c>
      <c r="J215" s="2" t="s">
        <v>848</v>
      </c>
      <c r="K215" s="2" t="s">
        <v>22</v>
      </c>
      <c r="L215" s="2" t="s">
        <v>32</v>
      </c>
      <c r="M215" s="3">
        <v>1</v>
      </c>
      <c r="N215" s="3">
        <v>1</v>
      </c>
      <c r="O215" s="9" t="s">
        <v>24</v>
      </c>
      <c r="P215" s="3">
        <v>0</v>
      </c>
    </row>
    <row r="216" spans="1:16" x14ac:dyDescent="0.3">
      <c r="A216" s="2" t="s">
        <v>849</v>
      </c>
      <c r="B216" s="2" t="s">
        <v>850</v>
      </c>
      <c r="C216" s="2" t="s">
        <v>18</v>
      </c>
      <c r="D216" s="5">
        <v>41.320128365499997</v>
      </c>
      <c r="E216" s="5">
        <v>36.293371321199999</v>
      </c>
      <c r="F216" s="2" t="s">
        <v>851</v>
      </c>
      <c r="G216" s="2" t="s">
        <v>28</v>
      </c>
      <c r="H216" s="2" t="s">
        <v>135</v>
      </c>
      <c r="I216" s="2" t="s">
        <v>135</v>
      </c>
      <c r="J216" s="2" t="s">
        <v>852</v>
      </c>
      <c r="K216" s="2" t="s">
        <v>22</v>
      </c>
      <c r="L216" s="2" t="s">
        <v>23</v>
      </c>
      <c r="M216" s="3">
        <v>1</v>
      </c>
      <c r="N216" s="3">
        <v>1</v>
      </c>
      <c r="O216" s="9" t="s">
        <v>24</v>
      </c>
      <c r="P216" s="3">
        <v>-1430.53</v>
      </c>
    </row>
    <row r="217" spans="1:16" x14ac:dyDescent="0.3">
      <c r="A217" s="2" t="s">
        <v>853</v>
      </c>
      <c r="B217" s="2" t="s">
        <v>854</v>
      </c>
      <c r="C217" s="2" t="s">
        <v>18</v>
      </c>
      <c r="D217" s="5">
        <v>41.338889199999997</v>
      </c>
      <c r="E217" s="5">
        <v>36.2517207</v>
      </c>
      <c r="F217" s="3"/>
      <c r="G217" s="2" t="s">
        <v>259</v>
      </c>
      <c r="H217" s="2" t="s">
        <v>260</v>
      </c>
      <c r="I217" s="2" t="s">
        <v>260</v>
      </c>
      <c r="J217" s="2" t="s">
        <v>855</v>
      </c>
      <c r="K217" s="2" t="s">
        <v>22</v>
      </c>
      <c r="L217" s="2" t="s">
        <v>23</v>
      </c>
      <c r="M217" s="3">
        <v>1</v>
      </c>
      <c r="N217" s="3">
        <v>1</v>
      </c>
      <c r="O217" s="9" t="s">
        <v>24</v>
      </c>
      <c r="P217" s="3">
        <v>0</v>
      </c>
    </row>
    <row r="218" spans="1:16" x14ac:dyDescent="0.3">
      <c r="A218" s="2" t="s">
        <v>856</v>
      </c>
      <c r="B218" s="2" t="s">
        <v>857</v>
      </c>
      <c r="C218" s="2" t="s">
        <v>18</v>
      </c>
      <c r="D218" s="5">
        <v>42.022268400000002</v>
      </c>
      <c r="E218" s="5">
        <v>35.157749699999997</v>
      </c>
      <c r="F218" s="2" t="s">
        <v>54</v>
      </c>
      <c r="G218" s="2" t="s">
        <v>259</v>
      </c>
      <c r="H218" s="2" t="s">
        <v>260</v>
      </c>
      <c r="I218" s="2" t="s">
        <v>260</v>
      </c>
      <c r="J218" s="2" t="s">
        <v>858</v>
      </c>
      <c r="K218" s="2" t="s">
        <v>154</v>
      </c>
      <c r="L218" s="2" t="s">
        <v>155</v>
      </c>
      <c r="M218" s="3">
        <v>1</v>
      </c>
      <c r="N218" s="3">
        <v>1</v>
      </c>
      <c r="O218" s="9" t="s">
        <v>24</v>
      </c>
      <c r="P218" s="3">
        <v>0</v>
      </c>
    </row>
    <row r="219" spans="1:16" x14ac:dyDescent="0.3">
      <c r="A219" s="2" t="s">
        <v>859</v>
      </c>
      <c r="B219" s="2" t="s">
        <v>860</v>
      </c>
      <c r="C219" s="2" t="s">
        <v>18</v>
      </c>
      <c r="D219" s="5">
        <v>41.261422199999998</v>
      </c>
      <c r="E219" s="5">
        <v>36.354038899999999</v>
      </c>
      <c r="F219" s="2" t="s">
        <v>861</v>
      </c>
      <c r="G219" s="2" t="s">
        <v>28</v>
      </c>
      <c r="H219" s="2" t="s">
        <v>36</v>
      </c>
      <c r="I219" s="2" t="s">
        <v>37</v>
      </c>
      <c r="J219" s="2" t="s">
        <v>862</v>
      </c>
      <c r="K219" s="2" t="s">
        <v>22</v>
      </c>
      <c r="L219" s="2" t="s">
        <v>99</v>
      </c>
      <c r="M219" s="3">
        <v>2</v>
      </c>
      <c r="N219" s="3">
        <v>1</v>
      </c>
      <c r="O219" s="9" t="s">
        <v>54</v>
      </c>
      <c r="P219" s="3">
        <v>1730.23</v>
      </c>
    </row>
    <row r="220" spans="1:16" x14ac:dyDescent="0.3">
      <c r="A220" s="2" t="s">
        <v>863</v>
      </c>
      <c r="B220" s="2" t="s">
        <v>864</v>
      </c>
      <c r="C220" s="2" t="s">
        <v>18</v>
      </c>
      <c r="D220" s="5">
        <v>41.144186300000001</v>
      </c>
      <c r="E220" s="5">
        <v>36.502983200000003</v>
      </c>
      <c r="F220" s="2" t="s">
        <v>865</v>
      </c>
      <c r="G220" s="2" t="s">
        <v>28</v>
      </c>
      <c r="H220" s="2" t="s">
        <v>29</v>
      </c>
      <c r="I220" s="2" t="s">
        <v>30</v>
      </c>
      <c r="J220" s="2" t="s">
        <v>866</v>
      </c>
      <c r="K220" s="2" t="s">
        <v>22</v>
      </c>
      <c r="L220" s="2" t="s">
        <v>39</v>
      </c>
      <c r="M220" s="3">
        <v>2</v>
      </c>
      <c r="N220" s="3">
        <v>1</v>
      </c>
      <c r="O220" s="9" t="s">
        <v>24</v>
      </c>
      <c r="P220" s="3">
        <v>2175.61</v>
      </c>
    </row>
    <row r="221" spans="1:16" x14ac:dyDescent="0.3">
      <c r="A221" s="2" t="s">
        <v>867</v>
      </c>
      <c r="B221" s="2" t="s">
        <v>868</v>
      </c>
      <c r="C221" s="2" t="s">
        <v>18</v>
      </c>
      <c r="D221" s="5">
        <v>41.265715399999998</v>
      </c>
      <c r="E221" s="5">
        <v>36.344405299999998</v>
      </c>
      <c r="F221" s="2" t="s">
        <v>869</v>
      </c>
      <c r="G221" s="2" t="s">
        <v>28</v>
      </c>
      <c r="H221" s="2" t="s">
        <v>36</v>
      </c>
      <c r="I221" s="2" t="s">
        <v>37</v>
      </c>
      <c r="J221" s="2" t="s">
        <v>870</v>
      </c>
      <c r="K221" s="2" t="s">
        <v>22</v>
      </c>
      <c r="L221" s="2" t="s">
        <v>99</v>
      </c>
      <c r="M221" s="3">
        <v>0</v>
      </c>
      <c r="N221" s="3">
        <v>1</v>
      </c>
      <c r="O221" s="9" t="s">
        <v>24</v>
      </c>
      <c r="P221" s="3">
        <v>-3960.42</v>
      </c>
    </row>
    <row r="222" spans="1:16" x14ac:dyDescent="0.3">
      <c r="A222" s="2" t="s">
        <v>871</v>
      </c>
      <c r="B222" s="2" t="s">
        <v>872</v>
      </c>
      <c r="C222" s="2" t="s">
        <v>18</v>
      </c>
      <c r="D222" s="5">
        <v>41.268952800000001</v>
      </c>
      <c r="E222" s="5">
        <v>36.350889299999999</v>
      </c>
      <c r="F222" s="2" t="s">
        <v>873</v>
      </c>
      <c r="G222" s="2" t="s">
        <v>28</v>
      </c>
      <c r="H222" s="2" t="s">
        <v>36</v>
      </c>
      <c r="I222" s="2" t="s">
        <v>37</v>
      </c>
      <c r="J222" s="2" t="s">
        <v>874</v>
      </c>
      <c r="K222" s="2" t="s">
        <v>22</v>
      </c>
      <c r="L222" s="2" t="s">
        <v>99</v>
      </c>
      <c r="M222" s="3">
        <v>1</v>
      </c>
      <c r="N222" s="3">
        <v>1</v>
      </c>
      <c r="O222" s="9" t="s">
        <v>24</v>
      </c>
      <c r="P222" s="3">
        <v>0</v>
      </c>
    </row>
    <row r="223" spans="1:16" x14ac:dyDescent="0.3">
      <c r="A223" s="2" t="s">
        <v>875</v>
      </c>
      <c r="B223" s="2" t="s">
        <v>876</v>
      </c>
      <c r="C223" s="2" t="s">
        <v>18</v>
      </c>
      <c r="D223" s="5">
        <v>41.4136922</v>
      </c>
      <c r="E223" s="5">
        <v>36.1743387</v>
      </c>
      <c r="F223" s="2" t="s">
        <v>877</v>
      </c>
      <c r="G223" s="2" t="s">
        <v>28</v>
      </c>
      <c r="H223" s="2" t="s">
        <v>36</v>
      </c>
      <c r="I223" s="2" t="s">
        <v>37</v>
      </c>
      <c r="J223" s="2" t="s">
        <v>878</v>
      </c>
      <c r="K223" s="2" t="s">
        <v>22</v>
      </c>
      <c r="L223" s="2" t="s">
        <v>23</v>
      </c>
      <c r="M223" s="3">
        <v>1</v>
      </c>
      <c r="N223" s="3">
        <v>1</v>
      </c>
      <c r="O223" s="9" t="s">
        <v>54</v>
      </c>
      <c r="P223" s="3">
        <v>0</v>
      </c>
    </row>
    <row r="224" spans="1:16" x14ac:dyDescent="0.3">
      <c r="A224" s="2" t="s">
        <v>879</v>
      </c>
      <c r="B224" s="2" t="s">
        <v>880</v>
      </c>
      <c r="C224" s="2" t="s">
        <v>18</v>
      </c>
      <c r="D224" s="5">
        <v>41.615440700000001</v>
      </c>
      <c r="E224" s="5">
        <v>35.606982500000001</v>
      </c>
      <c r="F224" s="3"/>
      <c r="G224" s="2" t="s">
        <v>259</v>
      </c>
      <c r="H224" s="2" t="s">
        <v>260</v>
      </c>
      <c r="I224" s="2" t="s">
        <v>260</v>
      </c>
      <c r="J224" s="2" t="s">
        <v>881</v>
      </c>
      <c r="K224" s="2" t="s">
        <v>22</v>
      </c>
      <c r="L224" s="2" t="s">
        <v>265</v>
      </c>
      <c r="M224" s="3">
        <v>1</v>
      </c>
      <c r="N224" s="3">
        <v>1</v>
      </c>
      <c r="O224" s="9" t="s">
        <v>24</v>
      </c>
      <c r="P224" s="3">
        <v>0</v>
      </c>
    </row>
    <row r="225" spans="1:16" x14ac:dyDescent="0.3">
      <c r="A225" s="2" t="s">
        <v>882</v>
      </c>
      <c r="B225" s="2" t="s">
        <v>883</v>
      </c>
      <c r="C225" s="2" t="s">
        <v>18</v>
      </c>
      <c r="D225" s="5">
        <v>41.137948600000001</v>
      </c>
      <c r="E225" s="5">
        <v>36.767327199999997</v>
      </c>
      <c r="F225" s="2" t="s">
        <v>884</v>
      </c>
      <c r="G225" s="2" t="s">
        <v>28</v>
      </c>
      <c r="H225" s="2" t="s">
        <v>682</v>
      </c>
      <c r="I225" s="2" t="s">
        <v>682</v>
      </c>
      <c r="J225" s="2" t="s">
        <v>885</v>
      </c>
      <c r="K225" s="2" t="s">
        <v>22</v>
      </c>
      <c r="L225" s="2" t="s">
        <v>44</v>
      </c>
      <c r="M225" s="3">
        <v>1</v>
      </c>
      <c r="N225" s="3">
        <v>1</v>
      </c>
      <c r="O225" s="9" t="s">
        <v>54</v>
      </c>
      <c r="P225" s="3">
        <v>-894.17</v>
      </c>
    </row>
    <row r="226" spans="1:16" x14ac:dyDescent="0.3">
      <c r="A226" s="2" t="s">
        <v>886</v>
      </c>
      <c r="B226" s="2" t="s">
        <v>887</v>
      </c>
      <c r="C226" s="2" t="s">
        <v>18</v>
      </c>
      <c r="D226" s="5">
        <v>41.139358000000001</v>
      </c>
      <c r="E226" s="5">
        <v>37.281474299999999</v>
      </c>
      <c r="F226" s="3"/>
      <c r="G226" s="2" t="s">
        <v>259</v>
      </c>
      <c r="H226" s="2" t="s">
        <v>260</v>
      </c>
      <c r="I226" s="2" t="s">
        <v>260</v>
      </c>
      <c r="J226" s="2" t="s">
        <v>888</v>
      </c>
      <c r="K226" s="2" t="s">
        <v>63</v>
      </c>
      <c r="L226" s="2" t="s">
        <v>89</v>
      </c>
      <c r="M226" s="3">
        <v>1</v>
      </c>
      <c r="N226" s="3">
        <v>1</v>
      </c>
      <c r="O226" s="9" t="s">
        <v>24</v>
      </c>
      <c r="P226" s="3">
        <v>0</v>
      </c>
    </row>
    <row r="227" spans="1:16" x14ac:dyDescent="0.3">
      <c r="A227" s="2" t="s">
        <v>889</v>
      </c>
      <c r="B227" s="2" t="s">
        <v>890</v>
      </c>
      <c r="C227" s="2" t="s">
        <v>18</v>
      </c>
      <c r="D227" s="5">
        <v>41.5675101</v>
      </c>
      <c r="E227" s="5">
        <v>35.9182202</v>
      </c>
      <c r="F227" s="3"/>
      <c r="G227" s="2" t="s">
        <v>259</v>
      </c>
      <c r="H227" s="2" t="s">
        <v>260</v>
      </c>
      <c r="I227" s="2" t="s">
        <v>260</v>
      </c>
      <c r="J227" s="2" t="s">
        <v>891</v>
      </c>
      <c r="K227" s="2" t="s">
        <v>22</v>
      </c>
      <c r="L227" s="2" t="s">
        <v>53</v>
      </c>
      <c r="M227" s="3">
        <v>0</v>
      </c>
      <c r="N227" s="3">
        <v>1</v>
      </c>
      <c r="O227" s="9" t="s">
        <v>24</v>
      </c>
      <c r="P227" s="3">
        <v>0</v>
      </c>
    </row>
    <row r="228" spans="1:16" x14ac:dyDescent="0.3">
      <c r="A228" s="2" t="s">
        <v>892</v>
      </c>
      <c r="B228" s="2" t="s">
        <v>893</v>
      </c>
      <c r="C228" s="2" t="s">
        <v>18</v>
      </c>
      <c r="D228" s="5">
        <v>41.113656499999998</v>
      </c>
      <c r="E228" s="5">
        <v>35.320307499999998</v>
      </c>
      <c r="F228" s="2" t="s">
        <v>894</v>
      </c>
      <c r="G228" s="2" t="s">
        <v>28</v>
      </c>
      <c r="H228" s="2" t="s">
        <v>682</v>
      </c>
      <c r="I228" s="2" t="s">
        <v>682</v>
      </c>
      <c r="J228" s="2" t="s">
        <v>895</v>
      </c>
      <c r="K228" s="2" t="s">
        <v>22</v>
      </c>
      <c r="L228" s="2" t="s">
        <v>164</v>
      </c>
      <c r="M228" s="3">
        <v>0</v>
      </c>
      <c r="N228" s="3">
        <v>0</v>
      </c>
      <c r="O228" s="9" t="s">
        <v>24</v>
      </c>
      <c r="P228" s="3">
        <v>0</v>
      </c>
    </row>
    <row r="229" spans="1:16" x14ac:dyDescent="0.3">
      <c r="A229" s="2" t="s">
        <v>896</v>
      </c>
      <c r="B229" s="2" t="s">
        <v>897</v>
      </c>
      <c r="C229" s="2" t="s">
        <v>18</v>
      </c>
      <c r="D229" s="5">
        <v>41.216867499999999</v>
      </c>
      <c r="E229" s="5">
        <v>36.456349000000003</v>
      </c>
      <c r="F229" s="2" t="s">
        <v>898</v>
      </c>
      <c r="G229" s="2" t="s">
        <v>28</v>
      </c>
      <c r="H229" s="2" t="s">
        <v>29</v>
      </c>
      <c r="I229" s="2" t="s">
        <v>30</v>
      </c>
      <c r="J229" s="2" t="s">
        <v>899</v>
      </c>
      <c r="K229" s="2" t="s">
        <v>22</v>
      </c>
      <c r="L229" s="2" t="s">
        <v>99</v>
      </c>
      <c r="M229" s="3">
        <v>1</v>
      </c>
      <c r="N229" s="3">
        <v>1</v>
      </c>
      <c r="O229" s="9" t="s">
        <v>54</v>
      </c>
      <c r="P229" s="3">
        <v>-1133.1500000000001</v>
      </c>
    </row>
    <row r="230" spans="1:16" x14ac:dyDescent="0.3">
      <c r="A230" s="2" t="s">
        <v>900</v>
      </c>
      <c r="B230" s="2" t="s">
        <v>901</v>
      </c>
      <c r="C230" s="2" t="s">
        <v>18</v>
      </c>
      <c r="D230" s="5">
        <v>41.377887899999998</v>
      </c>
      <c r="E230" s="5">
        <v>35.954104399999999</v>
      </c>
      <c r="F230" s="2" t="s">
        <v>902</v>
      </c>
      <c r="G230" s="2" t="s">
        <v>28</v>
      </c>
      <c r="H230" s="2" t="s">
        <v>29</v>
      </c>
      <c r="I230" s="2" t="s">
        <v>30</v>
      </c>
      <c r="J230" s="2" t="s">
        <v>903</v>
      </c>
      <c r="K230" s="2" t="s">
        <v>22</v>
      </c>
      <c r="L230" s="2" t="s">
        <v>53</v>
      </c>
      <c r="M230" s="3">
        <v>1</v>
      </c>
      <c r="N230" s="3">
        <v>1</v>
      </c>
      <c r="O230" s="9" t="s">
        <v>54</v>
      </c>
      <c r="P230" s="3">
        <v>0</v>
      </c>
    </row>
    <row r="231" spans="1:16" x14ac:dyDescent="0.3">
      <c r="A231" s="2" t="s">
        <v>904</v>
      </c>
      <c r="B231" s="2" t="s">
        <v>905</v>
      </c>
      <c r="C231" s="2" t="s">
        <v>18</v>
      </c>
      <c r="D231" s="5">
        <v>41.268300500000002</v>
      </c>
      <c r="E231" s="5">
        <v>36.323264100000003</v>
      </c>
      <c r="F231" s="2" t="s">
        <v>906</v>
      </c>
      <c r="G231" s="2" t="s">
        <v>28</v>
      </c>
      <c r="H231" s="2" t="s">
        <v>36</v>
      </c>
      <c r="I231" s="2" t="s">
        <v>37</v>
      </c>
      <c r="J231" s="2" t="s">
        <v>907</v>
      </c>
      <c r="K231" s="2" t="s">
        <v>22</v>
      </c>
      <c r="L231" s="2" t="s">
        <v>99</v>
      </c>
      <c r="M231" s="3">
        <v>2</v>
      </c>
      <c r="N231" s="3">
        <v>1</v>
      </c>
      <c r="O231" s="9" t="s">
        <v>24</v>
      </c>
      <c r="P231" s="3">
        <v>-1934.63</v>
      </c>
    </row>
    <row r="232" spans="1:16" x14ac:dyDescent="0.3">
      <c r="A232" s="2" t="s">
        <v>908</v>
      </c>
      <c r="B232" s="2" t="s">
        <v>909</v>
      </c>
      <c r="C232" s="2" t="s">
        <v>18</v>
      </c>
      <c r="D232" s="5">
        <v>41.256006900000003</v>
      </c>
      <c r="E232" s="5">
        <v>36.343747299999997</v>
      </c>
      <c r="F232" s="2" t="s">
        <v>910</v>
      </c>
      <c r="G232" s="2" t="s">
        <v>28</v>
      </c>
      <c r="H232" s="2" t="s">
        <v>29</v>
      </c>
      <c r="I232" s="2" t="s">
        <v>30</v>
      </c>
      <c r="J232" s="2" t="s">
        <v>911</v>
      </c>
      <c r="K232" s="2" t="s">
        <v>22</v>
      </c>
      <c r="L232" s="2" t="s">
        <v>99</v>
      </c>
      <c r="M232" s="3">
        <v>1</v>
      </c>
      <c r="N232" s="3">
        <v>1</v>
      </c>
      <c r="O232" s="9" t="s">
        <v>24</v>
      </c>
      <c r="P232" s="3">
        <v>0</v>
      </c>
    </row>
    <row r="233" spans="1:16" x14ac:dyDescent="0.3">
      <c r="A233" s="2" t="s">
        <v>912</v>
      </c>
      <c r="B233" s="2" t="s">
        <v>913</v>
      </c>
      <c r="C233" s="2" t="s">
        <v>18</v>
      </c>
      <c r="D233" s="5">
        <v>41.316809800000001</v>
      </c>
      <c r="E233" s="5">
        <v>36.298893300000003</v>
      </c>
      <c r="F233" s="3"/>
      <c r="G233" s="2" t="s">
        <v>259</v>
      </c>
      <c r="H233" s="2" t="s">
        <v>260</v>
      </c>
      <c r="I233" s="2" t="s">
        <v>260</v>
      </c>
      <c r="J233" s="2" t="s">
        <v>914</v>
      </c>
      <c r="K233" s="2" t="s">
        <v>22</v>
      </c>
      <c r="L233" s="2" t="s">
        <v>23</v>
      </c>
      <c r="M233" s="3">
        <v>1</v>
      </c>
      <c r="N233" s="3">
        <v>1</v>
      </c>
      <c r="O233" s="9" t="s">
        <v>24</v>
      </c>
      <c r="P233" s="3">
        <v>0</v>
      </c>
    </row>
    <row r="234" spans="1:16" x14ac:dyDescent="0.3">
      <c r="A234" s="2" t="s">
        <v>915</v>
      </c>
      <c r="B234" s="2" t="s">
        <v>916</v>
      </c>
      <c r="C234" s="2" t="s">
        <v>18</v>
      </c>
      <c r="D234" s="5">
        <v>41.142937099999997</v>
      </c>
      <c r="E234" s="5">
        <v>37.267158999999999</v>
      </c>
      <c r="F234" s="2" t="s">
        <v>917</v>
      </c>
      <c r="G234" s="2" t="s">
        <v>221</v>
      </c>
      <c r="H234" s="2" t="s">
        <v>918</v>
      </c>
      <c r="I234" s="2" t="s">
        <v>918</v>
      </c>
      <c r="J234" s="2" t="s">
        <v>919</v>
      </c>
      <c r="K234" s="2" t="s">
        <v>63</v>
      </c>
      <c r="L234" s="2" t="s">
        <v>89</v>
      </c>
      <c r="M234" s="3">
        <v>0</v>
      </c>
      <c r="N234" s="3">
        <v>1</v>
      </c>
      <c r="O234" s="9" t="s">
        <v>54</v>
      </c>
      <c r="P234" s="3">
        <v>25599.25</v>
      </c>
    </row>
    <row r="235" spans="1:16" x14ac:dyDescent="0.3">
      <c r="A235" s="2" t="s">
        <v>920</v>
      </c>
      <c r="B235" s="2" t="s">
        <v>921</v>
      </c>
      <c r="C235" s="2" t="s">
        <v>18</v>
      </c>
      <c r="D235" s="5">
        <v>41.266836099999999</v>
      </c>
      <c r="E235" s="5">
        <v>36.330082099999998</v>
      </c>
      <c r="F235" s="3"/>
      <c r="G235" s="2" t="s">
        <v>259</v>
      </c>
      <c r="H235" s="2" t="s">
        <v>260</v>
      </c>
      <c r="I235" s="2" t="s">
        <v>260</v>
      </c>
      <c r="J235" s="2" t="s">
        <v>922</v>
      </c>
      <c r="K235" s="2" t="s">
        <v>22</v>
      </c>
      <c r="L235" s="2" t="s">
        <v>112</v>
      </c>
      <c r="M235" s="3">
        <v>1</v>
      </c>
      <c r="N235" s="3">
        <v>1</v>
      </c>
      <c r="O235" s="9" t="s">
        <v>24</v>
      </c>
      <c r="P235" s="3">
        <v>0</v>
      </c>
    </row>
    <row r="236" spans="1:16" x14ac:dyDescent="0.3">
      <c r="A236" s="2" t="s">
        <v>923</v>
      </c>
      <c r="B236" s="2" t="s">
        <v>924</v>
      </c>
      <c r="C236" s="2" t="s">
        <v>18</v>
      </c>
      <c r="D236" s="5">
        <v>41.2186533</v>
      </c>
      <c r="E236" s="5">
        <v>36.639404999999996</v>
      </c>
      <c r="F236" s="2" t="s">
        <v>925</v>
      </c>
      <c r="G236" s="2" t="s">
        <v>221</v>
      </c>
      <c r="H236" s="2" t="s">
        <v>222</v>
      </c>
      <c r="I236" s="2" t="s">
        <v>926</v>
      </c>
      <c r="J236" s="2" t="s">
        <v>927</v>
      </c>
      <c r="K236" s="2" t="s">
        <v>22</v>
      </c>
      <c r="L236" s="2" t="s">
        <v>99</v>
      </c>
      <c r="M236" s="3">
        <v>0</v>
      </c>
      <c r="N236" s="3">
        <v>1</v>
      </c>
      <c r="O236" s="9" t="s">
        <v>24</v>
      </c>
      <c r="P236" s="3">
        <v>-540.86</v>
      </c>
    </row>
    <row r="237" spans="1:16" x14ac:dyDescent="0.3">
      <c r="A237" s="2" t="s">
        <v>928</v>
      </c>
      <c r="B237" s="2" t="s">
        <v>929</v>
      </c>
      <c r="C237" s="2" t="s">
        <v>18</v>
      </c>
      <c r="D237" s="5">
        <v>41.322500099999999</v>
      </c>
      <c r="E237" s="5">
        <v>36.283686400000001</v>
      </c>
      <c r="F237" s="3"/>
      <c r="G237" s="2" t="s">
        <v>259</v>
      </c>
      <c r="H237" s="2" t="s">
        <v>260</v>
      </c>
      <c r="I237" s="2" t="s">
        <v>260</v>
      </c>
      <c r="J237" s="2" t="s">
        <v>930</v>
      </c>
      <c r="K237" s="2" t="s">
        <v>22</v>
      </c>
      <c r="L237" s="2" t="s">
        <v>23</v>
      </c>
      <c r="M237" s="3">
        <v>1</v>
      </c>
      <c r="N237" s="3">
        <v>1</v>
      </c>
      <c r="O237" s="9" t="s">
        <v>24</v>
      </c>
      <c r="P237" s="3">
        <v>0</v>
      </c>
    </row>
    <row r="238" spans="1:16" x14ac:dyDescent="0.3">
      <c r="A238" s="2" t="s">
        <v>931</v>
      </c>
      <c r="B238" s="2" t="s">
        <v>932</v>
      </c>
      <c r="C238" s="2" t="s">
        <v>18</v>
      </c>
      <c r="D238" s="5">
        <v>41.294140499999997</v>
      </c>
      <c r="E238" s="5">
        <v>36.321270400000003</v>
      </c>
      <c r="F238" s="3"/>
      <c r="G238" s="2" t="s">
        <v>259</v>
      </c>
      <c r="H238" s="2" t="s">
        <v>260</v>
      </c>
      <c r="I238" s="2" t="s">
        <v>260</v>
      </c>
      <c r="J238" s="2" t="s">
        <v>933</v>
      </c>
      <c r="K238" s="2" t="s">
        <v>22</v>
      </c>
      <c r="L238" s="2" t="s">
        <v>112</v>
      </c>
      <c r="M238" s="3">
        <v>1</v>
      </c>
      <c r="N238" s="3">
        <v>1</v>
      </c>
      <c r="O238" s="9" t="s">
        <v>24</v>
      </c>
      <c r="P238" s="3">
        <v>0</v>
      </c>
    </row>
    <row r="239" spans="1:16" x14ac:dyDescent="0.3">
      <c r="A239" s="2" t="s">
        <v>934</v>
      </c>
      <c r="B239" s="2" t="s">
        <v>935</v>
      </c>
      <c r="C239" s="2" t="s">
        <v>18</v>
      </c>
      <c r="D239" s="5">
        <v>41.559986299999998</v>
      </c>
      <c r="E239" s="5">
        <v>35.916481500000003</v>
      </c>
      <c r="F239" s="3"/>
      <c r="G239" s="2" t="s">
        <v>259</v>
      </c>
      <c r="H239" s="2" t="s">
        <v>260</v>
      </c>
      <c r="I239" s="2" t="s">
        <v>260</v>
      </c>
      <c r="J239" s="2" t="s">
        <v>936</v>
      </c>
      <c r="K239" s="2" t="s">
        <v>22</v>
      </c>
      <c r="L239" s="2" t="s">
        <v>53</v>
      </c>
      <c r="M239" s="3">
        <v>0</v>
      </c>
      <c r="N239" s="3">
        <v>1</v>
      </c>
      <c r="O239" s="9" t="s">
        <v>24</v>
      </c>
      <c r="P239" s="3">
        <v>0</v>
      </c>
    </row>
    <row r="240" spans="1:16" x14ac:dyDescent="0.3">
      <c r="A240" s="2" t="s">
        <v>937</v>
      </c>
      <c r="B240" s="2" t="s">
        <v>938</v>
      </c>
      <c r="C240" s="2" t="s">
        <v>18</v>
      </c>
      <c r="D240" s="5">
        <v>41.808298600000001</v>
      </c>
      <c r="E240" s="5">
        <v>35.183264899999998</v>
      </c>
      <c r="F240" s="3"/>
      <c r="G240" s="2" t="s">
        <v>259</v>
      </c>
      <c r="H240" s="2" t="s">
        <v>260</v>
      </c>
      <c r="I240" s="2" t="s">
        <v>260</v>
      </c>
      <c r="J240" s="2" t="s">
        <v>939</v>
      </c>
      <c r="K240" s="2" t="s">
        <v>154</v>
      </c>
      <c r="L240" s="2" t="s">
        <v>302</v>
      </c>
      <c r="M240" s="3">
        <v>1</v>
      </c>
      <c r="N240" s="3">
        <v>1</v>
      </c>
      <c r="O240" s="9" t="s">
        <v>24</v>
      </c>
      <c r="P240" s="3">
        <v>0</v>
      </c>
    </row>
    <row r="241" spans="1:16" x14ac:dyDescent="0.3">
      <c r="A241" s="2" t="s">
        <v>940</v>
      </c>
      <c r="B241" s="2" t="s">
        <v>941</v>
      </c>
      <c r="C241" s="2" t="s">
        <v>18</v>
      </c>
      <c r="D241" s="5">
        <v>41.349519999999998</v>
      </c>
      <c r="E241" s="5">
        <v>36.241573299999999</v>
      </c>
      <c r="F241" s="3"/>
      <c r="G241" s="2" t="s">
        <v>259</v>
      </c>
      <c r="H241" s="2" t="s">
        <v>260</v>
      </c>
      <c r="I241" s="2" t="s">
        <v>260</v>
      </c>
      <c r="J241" s="2" t="s">
        <v>942</v>
      </c>
      <c r="K241" s="2" t="s">
        <v>22</v>
      </c>
      <c r="L241" s="2" t="s">
        <v>23</v>
      </c>
      <c r="M241" s="3">
        <v>1</v>
      </c>
      <c r="N241" s="3">
        <v>1</v>
      </c>
      <c r="O241" s="9" t="s">
        <v>24</v>
      </c>
      <c r="P241" s="3">
        <v>0</v>
      </c>
    </row>
    <row r="242" spans="1:16" x14ac:dyDescent="0.3">
      <c r="A242" s="2" t="s">
        <v>943</v>
      </c>
      <c r="B242" s="2" t="s">
        <v>944</v>
      </c>
      <c r="C242" s="2" t="s">
        <v>18</v>
      </c>
      <c r="D242" s="5">
        <v>41.265200200000002</v>
      </c>
      <c r="E242" s="5">
        <v>36.336099099999998</v>
      </c>
      <c r="F242" s="3"/>
      <c r="G242" s="2" t="s">
        <v>259</v>
      </c>
      <c r="H242" s="2" t="s">
        <v>260</v>
      </c>
      <c r="I242" s="2" t="s">
        <v>260</v>
      </c>
      <c r="J242" s="2" t="s">
        <v>945</v>
      </c>
      <c r="K242" s="2" t="s">
        <v>22</v>
      </c>
      <c r="L242" s="2" t="s">
        <v>32</v>
      </c>
      <c r="M242" s="3">
        <v>1</v>
      </c>
      <c r="N242" s="3">
        <v>1</v>
      </c>
      <c r="O242" s="9" t="s">
        <v>24</v>
      </c>
      <c r="P242" s="3">
        <v>0</v>
      </c>
    </row>
    <row r="243" spans="1:16" x14ac:dyDescent="0.3">
      <c r="A243" s="2" t="s">
        <v>946</v>
      </c>
      <c r="B243" s="2" t="s">
        <v>947</v>
      </c>
      <c r="C243" s="2" t="s">
        <v>18</v>
      </c>
      <c r="D243" s="5">
        <v>42.021493100000001</v>
      </c>
      <c r="E243" s="5">
        <v>35.166688999999998</v>
      </c>
      <c r="F243" s="3"/>
      <c r="G243" s="2" t="s">
        <v>259</v>
      </c>
      <c r="H243" s="2" t="s">
        <v>260</v>
      </c>
      <c r="I243" s="2" t="s">
        <v>260</v>
      </c>
      <c r="J243" s="2" t="s">
        <v>948</v>
      </c>
      <c r="K243" s="2" t="s">
        <v>154</v>
      </c>
      <c r="L243" s="2" t="s">
        <v>155</v>
      </c>
      <c r="M243" s="3">
        <v>1</v>
      </c>
      <c r="N243" s="3">
        <v>1</v>
      </c>
      <c r="O243" s="9" t="s">
        <v>24</v>
      </c>
      <c r="P243" s="3">
        <v>0</v>
      </c>
    </row>
    <row r="244" spans="1:16" x14ac:dyDescent="0.3">
      <c r="A244" s="2" t="s">
        <v>949</v>
      </c>
      <c r="B244" s="2" t="s">
        <v>950</v>
      </c>
      <c r="C244" s="2" t="s">
        <v>18</v>
      </c>
      <c r="D244" s="5">
        <v>41.184875599999998</v>
      </c>
      <c r="E244" s="5">
        <v>36.716366000000001</v>
      </c>
      <c r="F244" s="3"/>
      <c r="G244" s="2" t="s">
        <v>259</v>
      </c>
      <c r="H244" s="2" t="s">
        <v>260</v>
      </c>
      <c r="I244" s="2" t="s">
        <v>260</v>
      </c>
      <c r="J244" s="2" t="s">
        <v>951</v>
      </c>
      <c r="K244" s="2" t="s">
        <v>22</v>
      </c>
      <c r="L244" s="2" t="s">
        <v>44</v>
      </c>
      <c r="M244" s="3">
        <v>1</v>
      </c>
      <c r="N244" s="3">
        <v>1</v>
      </c>
      <c r="O244" s="9" t="s">
        <v>24</v>
      </c>
      <c r="P244" s="3">
        <v>0</v>
      </c>
    </row>
    <row r="245" spans="1:16" x14ac:dyDescent="0.3">
      <c r="A245" s="2" t="s">
        <v>952</v>
      </c>
      <c r="B245" s="2" t="s">
        <v>953</v>
      </c>
      <c r="C245" s="2" t="s">
        <v>18</v>
      </c>
      <c r="D245" s="5">
        <v>41.268726700000002</v>
      </c>
      <c r="E245" s="5">
        <v>36.329273299999997</v>
      </c>
      <c r="F245" s="3"/>
      <c r="G245" s="2" t="s">
        <v>259</v>
      </c>
      <c r="H245" s="2" t="s">
        <v>260</v>
      </c>
      <c r="I245" s="2" t="s">
        <v>260</v>
      </c>
      <c r="J245" s="2" t="s">
        <v>954</v>
      </c>
      <c r="K245" s="2" t="s">
        <v>22</v>
      </c>
      <c r="L245" s="2" t="s">
        <v>32</v>
      </c>
      <c r="M245" s="3">
        <v>0</v>
      </c>
      <c r="N245" s="3">
        <v>1</v>
      </c>
      <c r="O245" s="9" t="s">
        <v>24</v>
      </c>
      <c r="P245" s="3">
        <v>0</v>
      </c>
    </row>
    <row r="246" spans="1:16" x14ac:dyDescent="0.3">
      <c r="A246" s="2" t="s">
        <v>955</v>
      </c>
      <c r="B246" s="2" t="s">
        <v>956</v>
      </c>
      <c r="C246" s="2" t="s">
        <v>18</v>
      </c>
      <c r="D246" s="5">
        <v>41.3533349</v>
      </c>
      <c r="E246" s="5">
        <v>36.240339200000001</v>
      </c>
      <c r="F246" s="3"/>
      <c r="G246" s="2" t="s">
        <v>259</v>
      </c>
      <c r="H246" s="2" t="s">
        <v>260</v>
      </c>
      <c r="I246" s="2" t="s">
        <v>260</v>
      </c>
      <c r="J246" s="2" t="s">
        <v>957</v>
      </c>
      <c r="K246" s="2" t="s">
        <v>22</v>
      </c>
      <c r="L246" s="2" t="s">
        <v>23</v>
      </c>
      <c r="M246" s="3">
        <v>1</v>
      </c>
      <c r="N246" s="3">
        <v>1</v>
      </c>
      <c r="O246" s="9" t="s">
        <v>24</v>
      </c>
      <c r="P246" s="3">
        <v>0</v>
      </c>
    </row>
    <row r="247" spans="1:16" x14ac:dyDescent="0.3">
      <c r="A247" s="2" t="s">
        <v>958</v>
      </c>
      <c r="B247" s="2" t="s">
        <v>959</v>
      </c>
      <c r="C247" s="2" t="s">
        <v>18</v>
      </c>
      <c r="D247" s="5">
        <v>41.113576299999998</v>
      </c>
      <c r="E247" s="5">
        <v>36.513745900000004</v>
      </c>
      <c r="F247" s="2" t="s">
        <v>960</v>
      </c>
      <c r="G247" s="2" t="s">
        <v>28</v>
      </c>
      <c r="H247" s="2" t="s">
        <v>36</v>
      </c>
      <c r="I247" s="2" t="s">
        <v>37</v>
      </c>
      <c r="J247" s="2" t="s">
        <v>961</v>
      </c>
      <c r="K247" s="2" t="s">
        <v>22</v>
      </c>
      <c r="L247" s="2" t="s">
        <v>39</v>
      </c>
      <c r="M247" s="3">
        <v>1</v>
      </c>
      <c r="N247" s="3">
        <v>1</v>
      </c>
      <c r="O247" s="9" t="s">
        <v>24</v>
      </c>
      <c r="P247" s="3">
        <v>-0.75</v>
      </c>
    </row>
    <row r="248" spans="1:16" x14ac:dyDescent="0.3">
      <c r="A248" s="2" t="s">
        <v>962</v>
      </c>
      <c r="B248" s="2" t="s">
        <v>963</v>
      </c>
      <c r="C248" s="2" t="s">
        <v>18</v>
      </c>
      <c r="D248" s="5">
        <v>41.353008299999999</v>
      </c>
      <c r="E248" s="5">
        <v>36.234669599999997</v>
      </c>
      <c r="F248" s="3"/>
      <c r="G248" s="2" t="s">
        <v>259</v>
      </c>
      <c r="H248" s="2" t="s">
        <v>260</v>
      </c>
      <c r="I248" s="2" t="s">
        <v>260</v>
      </c>
      <c r="J248" s="2" t="s">
        <v>964</v>
      </c>
      <c r="K248" s="2" t="s">
        <v>22</v>
      </c>
      <c r="L248" s="2" t="s">
        <v>23</v>
      </c>
      <c r="M248" s="3">
        <v>1</v>
      </c>
      <c r="N248" s="3">
        <v>1</v>
      </c>
      <c r="O248" s="9" t="s">
        <v>24</v>
      </c>
      <c r="P248" s="3">
        <v>0</v>
      </c>
    </row>
    <row r="249" spans="1:16" x14ac:dyDescent="0.3">
      <c r="A249" s="2" t="s">
        <v>965</v>
      </c>
      <c r="B249" s="2" t="s">
        <v>966</v>
      </c>
      <c r="C249" s="2" t="s">
        <v>18</v>
      </c>
      <c r="D249" s="5">
        <v>41.301005199999999</v>
      </c>
      <c r="E249" s="5">
        <v>36.325971299999999</v>
      </c>
      <c r="F249" s="3"/>
      <c r="G249" s="2" t="s">
        <v>259</v>
      </c>
      <c r="H249" s="2" t="s">
        <v>260</v>
      </c>
      <c r="I249" s="2" t="s">
        <v>260</v>
      </c>
      <c r="J249" s="2" t="s">
        <v>967</v>
      </c>
      <c r="K249" s="2" t="s">
        <v>22</v>
      </c>
      <c r="L249" s="2" t="s">
        <v>32</v>
      </c>
      <c r="M249" s="3">
        <v>1</v>
      </c>
      <c r="N249" s="3">
        <v>1</v>
      </c>
      <c r="O249" s="9" t="s">
        <v>24</v>
      </c>
      <c r="P249" s="3">
        <v>0</v>
      </c>
    </row>
    <row r="250" spans="1:16" x14ac:dyDescent="0.3">
      <c r="A250" s="2" t="s">
        <v>968</v>
      </c>
      <c r="B250" s="2" t="s">
        <v>969</v>
      </c>
      <c r="C250" s="2" t="s">
        <v>18</v>
      </c>
      <c r="D250" s="5">
        <v>41.3450767</v>
      </c>
      <c r="E250" s="5">
        <v>36.245683300000003</v>
      </c>
      <c r="F250" s="3"/>
      <c r="G250" s="2" t="s">
        <v>259</v>
      </c>
      <c r="H250" s="2" t="s">
        <v>260</v>
      </c>
      <c r="I250" s="2" t="s">
        <v>260</v>
      </c>
      <c r="J250" s="2" t="s">
        <v>970</v>
      </c>
      <c r="K250" s="2" t="s">
        <v>22</v>
      </c>
      <c r="L250" s="2" t="s">
        <v>23</v>
      </c>
      <c r="M250" s="3">
        <v>1</v>
      </c>
      <c r="N250" s="3">
        <v>1</v>
      </c>
      <c r="O250" s="9" t="s">
        <v>24</v>
      </c>
      <c r="P250" s="3">
        <v>0</v>
      </c>
    </row>
    <row r="251" spans="1:16" x14ac:dyDescent="0.3">
      <c r="A251" s="2" t="s">
        <v>971</v>
      </c>
      <c r="B251" s="2" t="s">
        <v>972</v>
      </c>
      <c r="C251" s="2" t="s">
        <v>18</v>
      </c>
      <c r="D251" s="5">
        <v>41.0709771</v>
      </c>
      <c r="E251" s="5">
        <v>36.030039899999998</v>
      </c>
      <c r="F251" s="3"/>
      <c r="G251" s="2" t="s">
        <v>259</v>
      </c>
      <c r="H251" s="2" t="s">
        <v>260</v>
      </c>
      <c r="I251" s="2" t="s">
        <v>260</v>
      </c>
      <c r="J251" s="2" t="s">
        <v>973</v>
      </c>
      <c r="K251" s="2" t="s">
        <v>22</v>
      </c>
      <c r="L251" s="2" t="s">
        <v>224</v>
      </c>
      <c r="M251" s="3">
        <v>0</v>
      </c>
      <c r="N251" s="3">
        <v>1</v>
      </c>
      <c r="O251" s="9" t="s">
        <v>24</v>
      </c>
      <c r="P251" s="3">
        <v>0</v>
      </c>
    </row>
    <row r="252" spans="1:16" x14ac:dyDescent="0.3">
      <c r="A252" s="2" t="s">
        <v>974</v>
      </c>
      <c r="B252" s="2" t="s">
        <v>975</v>
      </c>
      <c r="C252" s="2" t="s">
        <v>18</v>
      </c>
      <c r="D252" s="5">
        <v>41.259195099999999</v>
      </c>
      <c r="E252" s="5">
        <v>36.3556235</v>
      </c>
      <c r="F252" s="2" t="s">
        <v>54</v>
      </c>
      <c r="G252" s="2" t="s">
        <v>259</v>
      </c>
      <c r="H252" s="2" t="s">
        <v>260</v>
      </c>
      <c r="I252" s="2" t="s">
        <v>260</v>
      </c>
      <c r="J252" s="2" t="s">
        <v>976</v>
      </c>
      <c r="K252" s="2" t="s">
        <v>22</v>
      </c>
      <c r="L252" s="2" t="s">
        <v>99</v>
      </c>
      <c r="M252" s="3">
        <v>1</v>
      </c>
      <c r="N252" s="3">
        <v>1</v>
      </c>
      <c r="O252" s="9" t="s">
        <v>24</v>
      </c>
      <c r="P252" s="3">
        <v>0</v>
      </c>
    </row>
    <row r="253" spans="1:16" x14ac:dyDescent="0.3">
      <c r="A253" s="2" t="s">
        <v>977</v>
      </c>
      <c r="B253" s="2" t="s">
        <v>978</v>
      </c>
      <c r="C253" s="2" t="s">
        <v>18</v>
      </c>
      <c r="D253" s="5">
        <v>41.2709701</v>
      </c>
      <c r="E253" s="5">
        <v>36.316285700000002</v>
      </c>
      <c r="F253" s="3"/>
      <c r="G253" s="2" t="s">
        <v>259</v>
      </c>
      <c r="H253" s="2" t="s">
        <v>260</v>
      </c>
      <c r="I253" s="2" t="s">
        <v>260</v>
      </c>
      <c r="J253" s="2" t="s">
        <v>979</v>
      </c>
      <c r="K253" s="2" t="s">
        <v>22</v>
      </c>
      <c r="L253" s="2" t="s">
        <v>32</v>
      </c>
      <c r="M253" s="3">
        <v>1</v>
      </c>
      <c r="N253" s="3">
        <v>1</v>
      </c>
      <c r="O253" s="9" t="s">
        <v>24</v>
      </c>
      <c r="P253" s="3">
        <v>0</v>
      </c>
    </row>
    <row r="254" spans="1:16" x14ac:dyDescent="0.3">
      <c r="A254" s="2" t="s">
        <v>980</v>
      </c>
      <c r="B254" s="2" t="s">
        <v>981</v>
      </c>
      <c r="C254" s="2" t="s">
        <v>18</v>
      </c>
      <c r="D254" s="5">
        <v>41.260925700000001</v>
      </c>
      <c r="E254" s="5">
        <v>36.369288400000002</v>
      </c>
      <c r="F254" s="3"/>
      <c r="G254" s="2" t="s">
        <v>259</v>
      </c>
      <c r="H254" s="2" t="s">
        <v>260</v>
      </c>
      <c r="I254" s="2" t="s">
        <v>260</v>
      </c>
      <c r="J254" s="2" t="s">
        <v>982</v>
      </c>
      <c r="K254" s="2" t="s">
        <v>22</v>
      </c>
      <c r="L254" s="2" t="s">
        <v>99</v>
      </c>
      <c r="M254" s="3">
        <v>1</v>
      </c>
      <c r="N254" s="3">
        <v>1</v>
      </c>
      <c r="O254" s="9" t="s">
        <v>24</v>
      </c>
      <c r="P254" s="3">
        <v>0</v>
      </c>
    </row>
    <row r="255" spans="1:16" x14ac:dyDescent="0.3">
      <c r="A255" s="2" t="s">
        <v>983</v>
      </c>
      <c r="B255" s="2" t="s">
        <v>984</v>
      </c>
      <c r="C255" s="2" t="s">
        <v>18</v>
      </c>
      <c r="D255" s="5">
        <v>41.369143299999998</v>
      </c>
      <c r="E255" s="5">
        <v>36.2264117</v>
      </c>
      <c r="F255" s="3"/>
      <c r="G255" s="2" t="s">
        <v>259</v>
      </c>
      <c r="H255" s="2" t="s">
        <v>260</v>
      </c>
      <c r="I255" s="2" t="s">
        <v>260</v>
      </c>
      <c r="J255" s="2" t="s">
        <v>985</v>
      </c>
      <c r="K255" s="2" t="s">
        <v>22</v>
      </c>
      <c r="L255" s="2" t="s">
        <v>23</v>
      </c>
      <c r="M255" s="3">
        <v>1</v>
      </c>
      <c r="N255" s="3">
        <v>1</v>
      </c>
      <c r="O255" s="9" t="s">
        <v>24</v>
      </c>
      <c r="P255" s="3">
        <v>0</v>
      </c>
    </row>
    <row r="256" spans="1:16" x14ac:dyDescent="0.3">
      <c r="A256" s="2" t="s">
        <v>986</v>
      </c>
      <c r="B256" s="2" t="s">
        <v>987</v>
      </c>
      <c r="C256" s="2" t="s">
        <v>18</v>
      </c>
      <c r="D256" s="5">
        <v>41.139005099999999</v>
      </c>
      <c r="E256" s="5">
        <v>35.464577599999998</v>
      </c>
      <c r="F256" s="3"/>
      <c r="G256" s="2" t="s">
        <v>259</v>
      </c>
      <c r="H256" s="2" t="s">
        <v>260</v>
      </c>
      <c r="I256" s="2" t="s">
        <v>260</v>
      </c>
      <c r="J256" s="2" t="s">
        <v>988</v>
      </c>
      <c r="K256" s="2" t="s">
        <v>22</v>
      </c>
      <c r="L256" s="2" t="s">
        <v>164</v>
      </c>
      <c r="M256" s="3">
        <v>1</v>
      </c>
      <c r="N256" s="3">
        <v>1</v>
      </c>
      <c r="O256" s="9" t="s">
        <v>24</v>
      </c>
      <c r="P256" s="3">
        <v>0</v>
      </c>
    </row>
    <row r="257" spans="1:16" x14ac:dyDescent="0.3">
      <c r="A257" s="2" t="s">
        <v>989</v>
      </c>
      <c r="B257" s="2" t="s">
        <v>990</v>
      </c>
      <c r="C257" s="2" t="s">
        <v>18</v>
      </c>
      <c r="D257" s="5">
        <v>41.263530099999997</v>
      </c>
      <c r="E257" s="5">
        <v>36.326576899999999</v>
      </c>
      <c r="F257" s="3"/>
      <c r="G257" s="2" t="s">
        <v>259</v>
      </c>
      <c r="H257" s="2" t="s">
        <v>260</v>
      </c>
      <c r="I257" s="2" t="s">
        <v>260</v>
      </c>
      <c r="J257" s="2" t="s">
        <v>991</v>
      </c>
      <c r="K257" s="2" t="s">
        <v>22</v>
      </c>
      <c r="L257" s="2" t="s">
        <v>32</v>
      </c>
      <c r="M257" s="3">
        <v>0</v>
      </c>
      <c r="N257" s="3">
        <v>1</v>
      </c>
      <c r="O257" s="9" t="s">
        <v>24</v>
      </c>
      <c r="P257" s="3">
        <v>0</v>
      </c>
    </row>
    <row r="258" spans="1:16" x14ac:dyDescent="0.3">
      <c r="A258" s="2" t="s">
        <v>992</v>
      </c>
      <c r="B258" s="2" t="s">
        <v>993</v>
      </c>
      <c r="C258" s="2" t="s">
        <v>18</v>
      </c>
      <c r="D258" s="5">
        <v>41.27272</v>
      </c>
      <c r="E258" s="5">
        <v>36.314680000000003</v>
      </c>
      <c r="F258" s="2" t="s">
        <v>994</v>
      </c>
      <c r="G258" s="2" t="s">
        <v>28</v>
      </c>
      <c r="H258" s="2" t="s">
        <v>29</v>
      </c>
      <c r="I258" s="2" t="s">
        <v>30</v>
      </c>
      <c r="J258" s="2" t="s">
        <v>995</v>
      </c>
      <c r="K258" s="2" t="s">
        <v>22</v>
      </c>
      <c r="L258" s="2" t="s">
        <v>32</v>
      </c>
      <c r="M258" s="3">
        <v>1</v>
      </c>
      <c r="N258" s="3">
        <v>1</v>
      </c>
      <c r="O258" s="9" t="s">
        <v>24</v>
      </c>
      <c r="P258" s="3">
        <v>0</v>
      </c>
    </row>
    <row r="259" spans="1:16" x14ac:dyDescent="0.3">
      <c r="A259" s="2" t="s">
        <v>996</v>
      </c>
      <c r="B259" s="2" t="s">
        <v>997</v>
      </c>
      <c r="C259" s="2" t="s">
        <v>18</v>
      </c>
      <c r="D259" s="5">
        <v>41.272838200000002</v>
      </c>
      <c r="E259" s="5">
        <v>36.349891999999997</v>
      </c>
      <c r="F259" s="3"/>
      <c r="G259" s="2" t="s">
        <v>259</v>
      </c>
      <c r="H259" s="2" t="s">
        <v>260</v>
      </c>
      <c r="I259" s="2" t="s">
        <v>260</v>
      </c>
      <c r="J259" s="2" t="s">
        <v>998</v>
      </c>
      <c r="K259" s="2" t="s">
        <v>22</v>
      </c>
      <c r="L259" s="2" t="s">
        <v>99</v>
      </c>
      <c r="M259" s="3">
        <v>1</v>
      </c>
      <c r="N259" s="3">
        <v>1</v>
      </c>
      <c r="O259" s="9" t="s">
        <v>24</v>
      </c>
      <c r="P259" s="3">
        <v>0</v>
      </c>
    </row>
    <row r="260" spans="1:16" x14ac:dyDescent="0.3">
      <c r="A260" s="2" t="s">
        <v>999</v>
      </c>
      <c r="B260" s="2" t="s">
        <v>1000</v>
      </c>
      <c r="C260" s="2" t="s">
        <v>18</v>
      </c>
      <c r="D260" s="5">
        <v>41.329741599999998</v>
      </c>
      <c r="E260" s="5">
        <v>36.2778791</v>
      </c>
      <c r="F260" s="3"/>
      <c r="G260" s="2" t="s">
        <v>259</v>
      </c>
      <c r="H260" s="2" t="s">
        <v>260</v>
      </c>
      <c r="I260" s="2" t="s">
        <v>260</v>
      </c>
      <c r="J260" s="2" t="s">
        <v>1001</v>
      </c>
      <c r="K260" s="2" t="s">
        <v>22</v>
      </c>
      <c r="L260" s="2" t="s">
        <v>23</v>
      </c>
      <c r="M260" s="3">
        <v>1</v>
      </c>
      <c r="N260" s="3">
        <v>1</v>
      </c>
      <c r="O260" s="9" t="s">
        <v>24</v>
      </c>
      <c r="P260" s="3">
        <v>0</v>
      </c>
    </row>
    <row r="261" spans="1:16" x14ac:dyDescent="0.3">
      <c r="A261" s="2" t="s">
        <v>1002</v>
      </c>
      <c r="B261" s="2" t="s">
        <v>1003</v>
      </c>
      <c r="C261" s="2" t="s">
        <v>18</v>
      </c>
      <c r="D261" s="5">
        <v>41.359588500000001</v>
      </c>
      <c r="E261" s="5">
        <v>36.232838800000003</v>
      </c>
      <c r="F261" s="3"/>
      <c r="G261" s="2" t="s">
        <v>259</v>
      </c>
      <c r="H261" s="2" t="s">
        <v>260</v>
      </c>
      <c r="I261" s="2" t="s">
        <v>260</v>
      </c>
      <c r="J261" s="2" t="s">
        <v>1004</v>
      </c>
      <c r="K261" s="2" t="s">
        <v>22</v>
      </c>
      <c r="L261" s="2" t="s">
        <v>23</v>
      </c>
      <c r="M261" s="3">
        <v>1</v>
      </c>
      <c r="N261" s="3">
        <v>1</v>
      </c>
      <c r="O261" s="9" t="s">
        <v>24</v>
      </c>
      <c r="P261" s="3">
        <v>0</v>
      </c>
    </row>
    <row r="262" spans="1:16" x14ac:dyDescent="0.3">
      <c r="A262" s="2" t="s">
        <v>1005</v>
      </c>
      <c r="B262" s="2" t="s">
        <v>1006</v>
      </c>
      <c r="C262" s="2" t="s">
        <v>18</v>
      </c>
      <c r="D262" s="5">
        <v>41.3018602</v>
      </c>
      <c r="E262" s="5">
        <v>36.322121799999998</v>
      </c>
      <c r="F262" s="3"/>
      <c r="G262" s="2" t="s">
        <v>259</v>
      </c>
      <c r="H262" s="2" t="s">
        <v>260</v>
      </c>
      <c r="I262" s="2" t="s">
        <v>260</v>
      </c>
      <c r="J262" s="2" t="s">
        <v>1007</v>
      </c>
      <c r="K262" s="2" t="s">
        <v>22</v>
      </c>
      <c r="L262" s="2" t="s">
        <v>32</v>
      </c>
      <c r="M262" s="3">
        <v>1</v>
      </c>
      <c r="N262" s="3">
        <v>1</v>
      </c>
      <c r="O262" s="9" t="s">
        <v>24</v>
      </c>
      <c r="P262" s="3">
        <v>0</v>
      </c>
    </row>
    <row r="263" spans="1:16" x14ac:dyDescent="0.3">
      <c r="A263" s="2" t="s">
        <v>1008</v>
      </c>
      <c r="B263" s="2" t="s">
        <v>1009</v>
      </c>
      <c r="C263" s="2" t="s">
        <v>18</v>
      </c>
      <c r="D263" s="5">
        <v>41.550753299999997</v>
      </c>
      <c r="E263" s="5">
        <v>35.929900600000003</v>
      </c>
      <c r="F263" s="2" t="s">
        <v>421</v>
      </c>
      <c r="G263" s="2" t="s">
        <v>28</v>
      </c>
      <c r="H263" s="2" t="s">
        <v>318</v>
      </c>
      <c r="I263" s="2" t="s">
        <v>409</v>
      </c>
      <c r="J263" s="2" t="s">
        <v>1010</v>
      </c>
      <c r="K263" s="2" t="s">
        <v>22</v>
      </c>
      <c r="L263" s="2" t="s">
        <v>53</v>
      </c>
      <c r="M263" s="3">
        <v>3</v>
      </c>
      <c r="N263" s="3">
        <v>1</v>
      </c>
      <c r="O263" s="9" t="s">
        <v>54</v>
      </c>
      <c r="P263" s="3">
        <v>-912.77</v>
      </c>
    </row>
    <row r="264" spans="1:16" x14ac:dyDescent="0.3">
      <c r="A264" s="2" t="s">
        <v>1011</v>
      </c>
      <c r="B264" s="2" t="s">
        <v>1012</v>
      </c>
      <c r="C264" s="2" t="s">
        <v>18</v>
      </c>
      <c r="D264" s="5">
        <v>41.2021765</v>
      </c>
      <c r="E264" s="5">
        <v>36.732006800000001</v>
      </c>
      <c r="F264" s="3"/>
      <c r="G264" s="2" t="s">
        <v>259</v>
      </c>
      <c r="H264" s="2" t="s">
        <v>260</v>
      </c>
      <c r="I264" s="2" t="s">
        <v>260</v>
      </c>
      <c r="J264" s="2" t="s">
        <v>1013</v>
      </c>
      <c r="K264" s="2" t="s">
        <v>22</v>
      </c>
      <c r="L264" s="2" t="s">
        <v>44</v>
      </c>
      <c r="M264" s="3">
        <v>1</v>
      </c>
      <c r="N264" s="3">
        <v>1</v>
      </c>
      <c r="O264" s="9" t="s">
        <v>24</v>
      </c>
      <c r="P264" s="3">
        <v>0</v>
      </c>
    </row>
    <row r="265" spans="1:16" x14ac:dyDescent="0.3">
      <c r="A265" s="2" t="s">
        <v>1014</v>
      </c>
      <c r="B265" s="2" t="s">
        <v>1015</v>
      </c>
      <c r="C265" s="2" t="s">
        <v>18</v>
      </c>
      <c r="D265" s="5">
        <v>41.219974299999997</v>
      </c>
      <c r="E265" s="5">
        <v>36.460061600000003</v>
      </c>
      <c r="F265" s="3"/>
      <c r="G265" s="2" t="s">
        <v>259</v>
      </c>
      <c r="H265" s="2" t="s">
        <v>260</v>
      </c>
      <c r="I265" s="2" t="s">
        <v>260</v>
      </c>
      <c r="J265" s="2" t="s">
        <v>1016</v>
      </c>
      <c r="K265" s="2" t="s">
        <v>22</v>
      </c>
      <c r="L265" s="2" t="s">
        <v>39</v>
      </c>
      <c r="M265" s="3">
        <v>1</v>
      </c>
      <c r="N265" s="3">
        <v>1</v>
      </c>
      <c r="O265" s="9" t="s">
        <v>24</v>
      </c>
      <c r="P265" s="3">
        <v>0</v>
      </c>
    </row>
    <row r="266" spans="1:16" x14ac:dyDescent="0.3">
      <c r="A266" s="2" t="s">
        <v>1017</v>
      </c>
      <c r="B266" s="2" t="s">
        <v>1018</v>
      </c>
      <c r="C266" s="2" t="s">
        <v>18</v>
      </c>
      <c r="D266" s="5">
        <v>42.020299600000001</v>
      </c>
      <c r="E266" s="5">
        <v>35.169896299999998</v>
      </c>
      <c r="F266" s="3"/>
      <c r="G266" s="2" t="s">
        <v>259</v>
      </c>
      <c r="H266" s="2" t="s">
        <v>260</v>
      </c>
      <c r="I266" s="2" t="s">
        <v>260</v>
      </c>
      <c r="J266" s="2" t="s">
        <v>1019</v>
      </c>
      <c r="K266" s="2" t="s">
        <v>154</v>
      </c>
      <c r="L266" s="2" t="s">
        <v>155</v>
      </c>
      <c r="M266" s="3">
        <v>1</v>
      </c>
      <c r="N266" s="3">
        <v>1</v>
      </c>
      <c r="O266" s="9" t="s">
        <v>24</v>
      </c>
      <c r="P266" s="3">
        <v>0</v>
      </c>
    </row>
    <row r="267" spans="1:16" x14ac:dyDescent="0.3">
      <c r="A267" s="2" t="s">
        <v>1020</v>
      </c>
      <c r="B267" s="2" t="s">
        <v>1021</v>
      </c>
      <c r="C267" s="2" t="s">
        <v>18</v>
      </c>
      <c r="D267" s="5">
        <v>41.5631646</v>
      </c>
      <c r="E267" s="5">
        <v>35.917846900000001</v>
      </c>
      <c r="F267" s="3"/>
      <c r="G267" s="2" t="s">
        <v>259</v>
      </c>
      <c r="H267" s="2" t="s">
        <v>260</v>
      </c>
      <c r="I267" s="2" t="s">
        <v>260</v>
      </c>
      <c r="J267" s="2" t="s">
        <v>1022</v>
      </c>
      <c r="K267" s="2" t="s">
        <v>22</v>
      </c>
      <c r="L267" s="2" t="s">
        <v>53</v>
      </c>
      <c r="M267" s="3">
        <v>1</v>
      </c>
      <c r="N267" s="3">
        <v>1</v>
      </c>
      <c r="O267" s="9" t="s">
        <v>24</v>
      </c>
      <c r="P267" s="3">
        <v>0</v>
      </c>
    </row>
    <row r="268" spans="1:16" x14ac:dyDescent="0.3">
      <c r="A268" s="2" t="s">
        <v>1023</v>
      </c>
      <c r="B268" s="2" t="s">
        <v>1024</v>
      </c>
      <c r="C268" s="2" t="s">
        <v>18</v>
      </c>
      <c r="D268" s="5">
        <v>41.137523999999999</v>
      </c>
      <c r="E268" s="5">
        <v>37.288187100000002</v>
      </c>
      <c r="F268" s="2" t="s">
        <v>1025</v>
      </c>
      <c r="G268" s="2" t="s">
        <v>28</v>
      </c>
      <c r="H268" s="2" t="s">
        <v>29</v>
      </c>
      <c r="I268" s="2" t="s">
        <v>30</v>
      </c>
      <c r="J268" s="2" t="s">
        <v>1026</v>
      </c>
      <c r="K268" s="2" t="s">
        <v>63</v>
      </c>
      <c r="L268" s="2" t="s">
        <v>89</v>
      </c>
      <c r="M268" s="3">
        <v>0</v>
      </c>
      <c r="N268" s="3">
        <v>0</v>
      </c>
      <c r="O268" s="9" t="s">
        <v>24</v>
      </c>
      <c r="P268" s="3">
        <v>-0.76</v>
      </c>
    </row>
    <row r="269" spans="1:16" x14ac:dyDescent="0.3">
      <c r="A269" s="2" t="s">
        <v>1027</v>
      </c>
      <c r="B269" s="2" t="s">
        <v>1028</v>
      </c>
      <c r="C269" s="2" t="s">
        <v>18</v>
      </c>
      <c r="D269" s="5">
        <v>41.069779699999998</v>
      </c>
      <c r="E269" s="5">
        <v>35.738771700000001</v>
      </c>
      <c r="F269" s="2" t="s">
        <v>1029</v>
      </c>
      <c r="G269" s="2" t="s">
        <v>28</v>
      </c>
      <c r="H269" s="2" t="s">
        <v>29</v>
      </c>
      <c r="I269" s="2" t="s">
        <v>30</v>
      </c>
      <c r="J269" s="2" t="s">
        <v>1030</v>
      </c>
      <c r="K269" s="2" t="s">
        <v>22</v>
      </c>
      <c r="L269" s="2" t="s">
        <v>193</v>
      </c>
      <c r="M269" s="3">
        <v>1</v>
      </c>
      <c r="N269" s="3">
        <v>1</v>
      </c>
      <c r="O269" s="9" t="s">
        <v>24</v>
      </c>
      <c r="P269" s="3">
        <v>2.2799999999999998</v>
      </c>
    </row>
    <row r="270" spans="1:16" x14ac:dyDescent="0.3">
      <c r="A270" s="2" t="s">
        <v>1032</v>
      </c>
      <c r="B270" s="2" t="s">
        <v>1033</v>
      </c>
      <c r="C270" s="2" t="s">
        <v>18</v>
      </c>
      <c r="D270" s="5">
        <v>41.3318333729</v>
      </c>
      <c r="E270" s="5">
        <v>36.267920779100002</v>
      </c>
      <c r="F270" s="3"/>
      <c r="G270" s="2" t="s">
        <v>259</v>
      </c>
      <c r="H270" s="2" t="s">
        <v>260</v>
      </c>
      <c r="I270" s="2" t="s">
        <v>260</v>
      </c>
      <c r="J270" s="2" t="s">
        <v>1034</v>
      </c>
      <c r="K270" s="2" t="s">
        <v>22</v>
      </c>
      <c r="L270" s="2" t="s">
        <v>23</v>
      </c>
      <c r="M270" s="3">
        <v>1</v>
      </c>
      <c r="N270" s="3">
        <v>1</v>
      </c>
      <c r="O270" s="9" t="s">
        <v>24</v>
      </c>
      <c r="P270" s="3">
        <v>0</v>
      </c>
    </row>
    <row r="271" spans="1:16" x14ac:dyDescent="0.3">
      <c r="A271" s="2" t="s">
        <v>1035</v>
      </c>
      <c r="B271" s="2" t="s">
        <v>1036</v>
      </c>
      <c r="C271" s="2" t="s">
        <v>18</v>
      </c>
      <c r="D271" s="5">
        <v>41.191189199999997</v>
      </c>
      <c r="E271" s="5">
        <v>35.462770399999997</v>
      </c>
      <c r="F271" s="2" t="s">
        <v>1037</v>
      </c>
      <c r="G271" s="2" t="s">
        <v>28</v>
      </c>
      <c r="H271" s="2" t="s">
        <v>29</v>
      </c>
      <c r="I271" s="2" t="s">
        <v>30</v>
      </c>
      <c r="J271" s="2" t="s">
        <v>1038</v>
      </c>
      <c r="K271" s="2" t="s">
        <v>22</v>
      </c>
      <c r="L271" s="2" t="s">
        <v>164</v>
      </c>
      <c r="M271" s="3">
        <v>0</v>
      </c>
      <c r="N271" s="3">
        <v>1</v>
      </c>
      <c r="O271" s="9" t="s">
        <v>24</v>
      </c>
      <c r="P271" s="3">
        <v>-83.77</v>
      </c>
    </row>
    <row r="272" spans="1:16" x14ac:dyDescent="0.3">
      <c r="A272" s="2" t="s">
        <v>1039</v>
      </c>
      <c r="B272" s="2" t="s">
        <v>1040</v>
      </c>
      <c r="C272" s="2" t="s">
        <v>18</v>
      </c>
      <c r="D272" s="5">
        <v>41.2654499</v>
      </c>
      <c r="E272" s="5">
        <v>36.3635108</v>
      </c>
      <c r="F272" s="2" t="s">
        <v>1041</v>
      </c>
      <c r="G272" s="2" t="s">
        <v>28</v>
      </c>
      <c r="H272" s="2" t="s">
        <v>36</v>
      </c>
      <c r="I272" s="2" t="s">
        <v>37</v>
      </c>
      <c r="J272" s="2" t="s">
        <v>1042</v>
      </c>
      <c r="K272" s="2" t="s">
        <v>22</v>
      </c>
      <c r="L272" s="2" t="s">
        <v>99</v>
      </c>
      <c r="M272" s="3">
        <v>0</v>
      </c>
      <c r="N272" s="3">
        <v>1</v>
      </c>
      <c r="O272" s="9" t="s">
        <v>24</v>
      </c>
      <c r="P272" s="3">
        <v>2035.63</v>
      </c>
    </row>
    <row r="273" spans="1:16" x14ac:dyDescent="0.3">
      <c r="A273" s="2" t="s">
        <v>1043</v>
      </c>
      <c r="B273" s="2" t="s">
        <v>1044</v>
      </c>
      <c r="C273" s="2" t="s">
        <v>18</v>
      </c>
      <c r="D273" s="5">
        <v>41.326208299999998</v>
      </c>
      <c r="E273" s="5">
        <v>36.236435</v>
      </c>
      <c r="F273" s="2" t="s">
        <v>54</v>
      </c>
      <c r="G273" s="2" t="s">
        <v>259</v>
      </c>
      <c r="H273" s="2" t="s">
        <v>260</v>
      </c>
      <c r="I273" s="2" t="s">
        <v>260</v>
      </c>
      <c r="J273" s="2" t="s">
        <v>1045</v>
      </c>
      <c r="K273" s="2" t="s">
        <v>22</v>
      </c>
      <c r="L273" s="2" t="s">
        <v>23</v>
      </c>
      <c r="M273" s="3">
        <v>1</v>
      </c>
      <c r="N273" s="3">
        <v>1</v>
      </c>
      <c r="O273" s="9" t="s">
        <v>24</v>
      </c>
      <c r="P273" s="3">
        <v>0</v>
      </c>
    </row>
    <row r="274" spans="1:16" x14ac:dyDescent="0.3">
      <c r="A274" s="2" t="s">
        <v>1046</v>
      </c>
      <c r="B274" s="2" t="s">
        <v>1047</v>
      </c>
      <c r="C274" s="2" t="s">
        <v>18</v>
      </c>
      <c r="D274" s="5">
        <v>41.265352700000001</v>
      </c>
      <c r="E274" s="5">
        <v>36.3792945</v>
      </c>
      <c r="F274" s="2" t="s">
        <v>1048</v>
      </c>
      <c r="G274" s="2" t="s">
        <v>221</v>
      </c>
      <c r="H274" s="2" t="s">
        <v>1049</v>
      </c>
      <c r="I274" s="2" t="s">
        <v>1049</v>
      </c>
      <c r="J274" s="2" t="s">
        <v>1050</v>
      </c>
      <c r="K274" s="2" t="s">
        <v>22</v>
      </c>
      <c r="L274" s="2" t="s">
        <v>99</v>
      </c>
      <c r="M274" s="3">
        <v>2</v>
      </c>
      <c r="N274" s="3">
        <v>1</v>
      </c>
      <c r="O274" s="9" t="s">
        <v>24</v>
      </c>
      <c r="P274" s="3">
        <v>-31.3</v>
      </c>
    </row>
    <row r="275" spans="1:16" x14ac:dyDescent="0.3">
      <c r="A275" s="2" t="s">
        <v>1051</v>
      </c>
      <c r="B275" s="2" t="s">
        <v>1052</v>
      </c>
      <c r="C275" s="2" t="s">
        <v>18</v>
      </c>
      <c r="D275" s="5">
        <v>41.494484300000003</v>
      </c>
      <c r="E275" s="5">
        <v>36.078906500000002</v>
      </c>
      <c r="F275" s="3"/>
      <c r="G275" s="2" t="s">
        <v>259</v>
      </c>
      <c r="H275" s="2" t="s">
        <v>260</v>
      </c>
      <c r="I275" s="2" t="s">
        <v>260</v>
      </c>
      <c r="J275" s="2" t="s">
        <v>1053</v>
      </c>
      <c r="K275" s="2" t="s">
        <v>22</v>
      </c>
      <c r="L275" s="2" t="s">
        <v>394</v>
      </c>
      <c r="M275" s="3">
        <v>1</v>
      </c>
      <c r="N275" s="3">
        <v>1</v>
      </c>
      <c r="O275" s="9" t="s">
        <v>24</v>
      </c>
      <c r="P275" s="3">
        <v>0</v>
      </c>
    </row>
    <row r="276" spans="1:16" x14ac:dyDescent="0.3">
      <c r="A276" s="2" t="s">
        <v>1054</v>
      </c>
      <c r="B276" s="2" t="s">
        <v>1055</v>
      </c>
      <c r="C276" s="2" t="s">
        <v>18</v>
      </c>
      <c r="D276" s="5">
        <v>41.494061899999998</v>
      </c>
      <c r="E276" s="5">
        <v>36.085878299999997</v>
      </c>
      <c r="F276" s="3"/>
      <c r="G276" s="2" t="s">
        <v>259</v>
      </c>
      <c r="H276" s="2" t="s">
        <v>260</v>
      </c>
      <c r="I276" s="2" t="s">
        <v>260</v>
      </c>
      <c r="J276" s="2" t="s">
        <v>1056</v>
      </c>
      <c r="K276" s="2" t="s">
        <v>22</v>
      </c>
      <c r="L276" s="2" t="s">
        <v>394</v>
      </c>
      <c r="M276" s="3">
        <v>1</v>
      </c>
      <c r="N276" s="3">
        <v>1</v>
      </c>
      <c r="O276" s="9" t="s">
        <v>24</v>
      </c>
      <c r="P276" s="3">
        <v>0</v>
      </c>
    </row>
    <row r="277" spans="1:16" x14ac:dyDescent="0.3">
      <c r="A277" s="2" t="s">
        <v>1057</v>
      </c>
      <c r="B277" s="2" t="s">
        <v>1058</v>
      </c>
      <c r="C277" s="2" t="s">
        <v>18</v>
      </c>
      <c r="D277" s="5">
        <v>41.405122400000003</v>
      </c>
      <c r="E277" s="5">
        <v>35.961944299999999</v>
      </c>
      <c r="F277" s="2" t="s">
        <v>1059</v>
      </c>
      <c r="G277" s="2" t="s">
        <v>28</v>
      </c>
      <c r="H277" s="2" t="s">
        <v>29</v>
      </c>
      <c r="I277" s="2" t="s">
        <v>30</v>
      </c>
      <c r="J277" s="2" t="s">
        <v>1060</v>
      </c>
      <c r="K277" s="2" t="s">
        <v>22</v>
      </c>
      <c r="L277" s="2" t="s">
        <v>53</v>
      </c>
      <c r="M277" s="3">
        <v>0</v>
      </c>
      <c r="N277" s="3">
        <v>0</v>
      </c>
      <c r="O277" s="9" t="s">
        <v>24</v>
      </c>
      <c r="P277" s="3">
        <v>0</v>
      </c>
    </row>
    <row r="278" spans="1:16" x14ac:dyDescent="0.3">
      <c r="A278" s="2" t="s">
        <v>1061</v>
      </c>
      <c r="B278" s="2" t="s">
        <v>1062</v>
      </c>
      <c r="C278" s="2" t="s">
        <v>18</v>
      </c>
      <c r="D278" s="5">
        <v>40.973055000000002</v>
      </c>
      <c r="E278" s="5">
        <v>35.661129699999996</v>
      </c>
      <c r="F278" s="3"/>
      <c r="G278" s="2" t="s">
        <v>259</v>
      </c>
      <c r="H278" s="2" t="s">
        <v>260</v>
      </c>
      <c r="I278" s="2" t="s">
        <v>260</v>
      </c>
      <c r="J278" s="2" t="s">
        <v>1063</v>
      </c>
      <c r="K278" s="2" t="s">
        <v>22</v>
      </c>
      <c r="L278" s="2" t="s">
        <v>193</v>
      </c>
      <c r="M278" s="3">
        <v>1</v>
      </c>
      <c r="N278" s="3">
        <v>1</v>
      </c>
      <c r="O278" s="9" t="s">
        <v>24</v>
      </c>
      <c r="P278" s="3">
        <v>0</v>
      </c>
    </row>
    <row r="279" spans="1:16" x14ac:dyDescent="0.3">
      <c r="A279" s="2" t="s">
        <v>1064</v>
      </c>
      <c r="B279" s="2" t="s">
        <v>1065</v>
      </c>
      <c r="C279" s="2" t="s">
        <v>18</v>
      </c>
      <c r="D279" s="5">
        <v>42.024154600000003</v>
      </c>
      <c r="E279" s="5">
        <v>35.1549677</v>
      </c>
      <c r="F279" s="3"/>
      <c r="G279" s="2" t="s">
        <v>259</v>
      </c>
      <c r="H279" s="2" t="s">
        <v>260</v>
      </c>
      <c r="I279" s="2" t="s">
        <v>260</v>
      </c>
      <c r="J279" s="2" t="s">
        <v>1066</v>
      </c>
      <c r="K279" s="2" t="s">
        <v>154</v>
      </c>
      <c r="L279" s="2" t="s">
        <v>155</v>
      </c>
      <c r="M279" s="3">
        <v>1</v>
      </c>
      <c r="N279" s="3">
        <v>1</v>
      </c>
      <c r="O279" s="9" t="s">
        <v>24</v>
      </c>
      <c r="P279" s="3">
        <v>0</v>
      </c>
    </row>
    <row r="280" spans="1:16" x14ac:dyDescent="0.3">
      <c r="A280" s="2" t="s">
        <v>1067</v>
      </c>
      <c r="B280" s="2" t="s">
        <v>1068</v>
      </c>
      <c r="C280" s="2" t="s">
        <v>18</v>
      </c>
      <c r="D280" s="5">
        <v>41.879335599999997</v>
      </c>
      <c r="E280" s="5">
        <v>34.9058803</v>
      </c>
      <c r="F280" s="3"/>
      <c r="G280" s="2" t="s">
        <v>259</v>
      </c>
      <c r="H280" s="2" t="s">
        <v>260</v>
      </c>
      <c r="I280" s="2" t="s">
        <v>260</v>
      </c>
      <c r="J280" s="2" t="s">
        <v>1069</v>
      </c>
      <c r="K280" s="2" t="s">
        <v>154</v>
      </c>
      <c r="L280" s="2" t="s">
        <v>1070</v>
      </c>
      <c r="M280" s="3">
        <v>1</v>
      </c>
      <c r="N280" s="3">
        <v>1</v>
      </c>
      <c r="O280" s="9" t="s">
        <v>24</v>
      </c>
      <c r="P280" s="3">
        <v>0</v>
      </c>
    </row>
    <row r="281" spans="1:16" x14ac:dyDescent="0.3">
      <c r="A281" s="2" t="s">
        <v>1071</v>
      </c>
      <c r="B281" s="2" t="s">
        <v>1072</v>
      </c>
      <c r="C281" s="2" t="s">
        <v>18</v>
      </c>
      <c r="D281" s="5">
        <v>41.2589106</v>
      </c>
      <c r="E281" s="5">
        <v>36.361865700000003</v>
      </c>
      <c r="F281" s="3"/>
      <c r="G281" s="2" t="s">
        <v>259</v>
      </c>
      <c r="H281" s="2" t="s">
        <v>260</v>
      </c>
      <c r="I281" s="2" t="s">
        <v>260</v>
      </c>
      <c r="J281" s="2" t="s">
        <v>1073</v>
      </c>
      <c r="K281" s="2" t="s">
        <v>22</v>
      </c>
      <c r="L281" s="2" t="s">
        <v>99</v>
      </c>
      <c r="M281" s="3">
        <v>1</v>
      </c>
      <c r="N281" s="3">
        <v>1</v>
      </c>
      <c r="O281" s="9" t="s">
        <v>24</v>
      </c>
      <c r="P281" s="3">
        <v>0</v>
      </c>
    </row>
    <row r="282" spans="1:16" x14ac:dyDescent="0.3">
      <c r="A282" s="2" t="s">
        <v>1074</v>
      </c>
      <c r="B282" s="2" t="s">
        <v>1075</v>
      </c>
      <c r="C282" s="2" t="s">
        <v>18</v>
      </c>
      <c r="D282" s="5">
        <v>41.236711700000001</v>
      </c>
      <c r="E282" s="5">
        <v>36.409346300000003</v>
      </c>
      <c r="F282" s="3"/>
      <c r="G282" s="2" t="s">
        <v>259</v>
      </c>
      <c r="H282" s="2" t="s">
        <v>260</v>
      </c>
      <c r="I282" s="2" t="s">
        <v>260</v>
      </c>
      <c r="J282" s="2" t="s">
        <v>1076</v>
      </c>
      <c r="K282" s="2" t="s">
        <v>22</v>
      </c>
      <c r="L282" s="2" t="s">
        <v>39</v>
      </c>
      <c r="M282" s="3">
        <v>1</v>
      </c>
      <c r="N282" s="3">
        <v>1</v>
      </c>
      <c r="O282" s="9" t="s">
        <v>24</v>
      </c>
      <c r="P282" s="3">
        <v>0</v>
      </c>
    </row>
    <row r="283" spans="1:16" x14ac:dyDescent="0.3">
      <c r="A283" s="2" t="s">
        <v>1077</v>
      </c>
      <c r="B283" s="2" t="s">
        <v>1078</v>
      </c>
      <c r="C283" s="2" t="s">
        <v>18</v>
      </c>
      <c r="D283" s="5">
        <v>41.3332426781</v>
      </c>
      <c r="E283" s="5">
        <v>36.277836321800002</v>
      </c>
      <c r="F283" s="3"/>
      <c r="G283" s="2" t="s">
        <v>259</v>
      </c>
      <c r="H283" s="2" t="s">
        <v>260</v>
      </c>
      <c r="I283" s="2" t="s">
        <v>260</v>
      </c>
      <c r="J283" s="2" t="s">
        <v>1079</v>
      </c>
      <c r="K283" s="2" t="s">
        <v>22</v>
      </c>
      <c r="L283" s="2" t="s">
        <v>23</v>
      </c>
      <c r="M283" s="3">
        <v>1</v>
      </c>
      <c r="N283" s="3">
        <v>1</v>
      </c>
      <c r="O283" s="9" t="s">
        <v>24</v>
      </c>
      <c r="P283" s="3">
        <v>0</v>
      </c>
    </row>
    <row r="284" spans="1:16" x14ac:dyDescent="0.3">
      <c r="A284" s="2" t="s">
        <v>1080</v>
      </c>
      <c r="B284" s="2" t="s">
        <v>1081</v>
      </c>
      <c r="C284" s="2" t="s">
        <v>18</v>
      </c>
      <c r="D284" s="5">
        <v>42.025427499999999</v>
      </c>
      <c r="E284" s="5">
        <v>35.161011799999997</v>
      </c>
      <c r="F284" s="3"/>
      <c r="G284" s="2" t="s">
        <v>259</v>
      </c>
      <c r="H284" s="2" t="s">
        <v>260</v>
      </c>
      <c r="I284" s="2" t="s">
        <v>260</v>
      </c>
      <c r="J284" s="2" t="s">
        <v>1082</v>
      </c>
      <c r="K284" s="2" t="s">
        <v>22</v>
      </c>
      <c r="L284" s="2" t="s">
        <v>23</v>
      </c>
      <c r="M284" s="3">
        <v>1</v>
      </c>
      <c r="N284" s="3">
        <v>1</v>
      </c>
      <c r="O284" s="9" t="s">
        <v>24</v>
      </c>
      <c r="P284" s="3">
        <v>0</v>
      </c>
    </row>
    <row r="285" spans="1:16" x14ac:dyDescent="0.3">
      <c r="A285" s="2" t="s">
        <v>1083</v>
      </c>
      <c r="B285" s="2" t="s">
        <v>1084</v>
      </c>
      <c r="C285" s="2" t="s">
        <v>18</v>
      </c>
      <c r="D285" s="5">
        <v>41.303336620700001</v>
      </c>
      <c r="E285" s="5">
        <v>36.312212404999997</v>
      </c>
      <c r="F285" s="3"/>
      <c r="G285" s="2" t="s">
        <v>259</v>
      </c>
      <c r="H285" s="2" t="s">
        <v>260</v>
      </c>
      <c r="I285" s="2" t="s">
        <v>260</v>
      </c>
      <c r="J285" s="2" t="s">
        <v>1085</v>
      </c>
      <c r="K285" s="2" t="s">
        <v>22</v>
      </c>
      <c r="L285" s="2" t="s">
        <v>32</v>
      </c>
      <c r="M285" s="3">
        <v>1</v>
      </c>
      <c r="N285" s="3">
        <v>1</v>
      </c>
      <c r="O285" s="9" t="s">
        <v>24</v>
      </c>
      <c r="P285" s="3">
        <v>0</v>
      </c>
    </row>
    <row r="286" spans="1:16" x14ac:dyDescent="0.3">
      <c r="A286" s="2" t="s">
        <v>1086</v>
      </c>
      <c r="B286" s="2" t="s">
        <v>1087</v>
      </c>
      <c r="C286" s="2" t="s">
        <v>18</v>
      </c>
      <c r="D286" s="5">
        <v>41.321203799999999</v>
      </c>
      <c r="E286" s="5">
        <v>36.269710600000003</v>
      </c>
      <c r="F286" s="3"/>
      <c r="G286" s="2" t="s">
        <v>259</v>
      </c>
      <c r="H286" s="2" t="s">
        <v>260</v>
      </c>
      <c r="I286" s="2" t="s">
        <v>260</v>
      </c>
      <c r="J286" s="2" t="s">
        <v>1088</v>
      </c>
      <c r="K286" s="2" t="s">
        <v>22</v>
      </c>
      <c r="L286" s="2" t="s">
        <v>23</v>
      </c>
      <c r="M286" s="3">
        <v>1</v>
      </c>
      <c r="N286" s="3">
        <v>1</v>
      </c>
      <c r="O286" s="9" t="s">
        <v>24</v>
      </c>
      <c r="P286" s="3">
        <v>0</v>
      </c>
    </row>
    <row r="287" spans="1:16" x14ac:dyDescent="0.3">
      <c r="A287" s="2" t="s">
        <v>1089</v>
      </c>
      <c r="B287" s="2" t="s">
        <v>1090</v>
      </c>
      <c r="C287" s="2" t="s">
        <v>18</v>
      </c>
      <c r="D287" s="5">
        <v>41.351609500000002</v>
      </c>
      <c r="E287" s="5">
        <v>36.237434800000003</v>
      </c>
      <c r="F287" s="3"/>
      <c r="G287" s="2" t="s">
        <v>259</v>
      </c>
      <c r="H287" s="2" t="s">
        <v>260</v>
      </c>
      <c r="I287" s="2" t="s">
        <v>260</v>
      </c>
      <c r="J287" s="2" t="s">
        <v>1091</v>
      </c>
      <c r="K287" s="2" t="s">
        <v>22</v>
      </c>
      <c r="L287" s="2" t="s">
        <v>23</v>
      </c>
      <c r="M287" s="3">
        <v>1</v>
      </c>
      <c r="N287" s="3">
        <v>1</v>
      </c>
      <c r="O287" s="9" t="s">
        <v>24</v>
      </c>
      <c r="P287" s="3">
        <v>0</v>
      </c>
    </row>
    <row r="288" spans="1:16" x14ac:dyDescent="0.3">
      <c r="A288" s="2" t="s">
        <v>1092</v>
      </c>
      <c r="B288" s="2" t="s">
        <v>1093</v>
      </c>
      <c r="C288" s="2" t="s">
        <v>18</v>
      </c>
      <c r="D288" s="5">
        <v>41.336276532699998</v>
      </c>
      <c r="E288" s="5">
        <v>36.266152575900001</v>
      </c>
      <c r="F288" s="3"/>
      <c r="G288" s="2" t="s">
        <v>259</v>
      </c>
      <c r="H288" s="2" t="s">
        <v>260</v>
      </c>
      <c r="I288" s="2" t="s">
        <v>260</v>
      </c>
      <c r="J288" s="2" t="s">
        <v>1094</v>
      </c>
      <c r="K288" s="2" t="s">
        <v>22</v>
      </c>
      <c r="L288" s="2" t="s">
        <v>23</v>
      </c>
      <c r="M288" s="3">
        <v>1</v>
      </c>
      <c r="N288" s="3">
        <v>1</v>
      </c>
      <c r="O288" s="9" t="s">
        <v>24</v>
      </c>
      <c r="P288" s="3">
        <v>0</v>
      </c>
    </row>
    <row r="289" spans="1:16" x14ac:dyDescent="0.3">
      <c r="A289" s="2" t="s">
        <v>1095</v>
      </c>
      <c r="B289" s="2" t="s">
        <v>1096</v>
      </c>
      <c r="C289" s="2" t="s">
        <v>18</v>
      </c>
      <c r="D289" s="5">
        <v>41.477002300000002</v>
      </c>
      <c r="E289" s="5">
        <v>36.093175199999997</v>
      </c>
      <c r="F289" s="3"/>
      <c r="G289" s="2" t="s">
        <v>259</v>
      </c>
      <c r="H289" s="2" t="s">
        <v>260</v>
      </c>
      <c r="I289" s="2" t="s">
        <v>260</v>
      </c>
      <c r="J289" s="2" t="s">
        <v>1097</v>
      </c>
      <c r="K289" s="2" t="s">
        <v>154</v>
      </c>
      <c r="L289" s="2" t="s">
        <v>302</v>
      </c>
      <c r="M289" s="3">
        <v>1</v>
      </c>
      <c r="N289" s="3">
        <v>1</v>
      </c>
      <c r="O289" s="9" t="s">
        <v>24</v>
      </c>
      <c r="P289" s="3">
        <v>0</v>
      </c>
    </row>
    <row r="290" spans="1:16" x14ac:dyDescent="0.3">
      <c r="A290" s="2" t="s">
        <v>1098</v>
      </c>
      <c r="B290" s="2" t="s">
        <v>1099</v>
      </c>
      <c r="C290" s="2" t="s">
        <v>18</v>
      </c>
      <c r="D290" s="5">
        <v>41.339300100000003</v>
      </c>
      <c r="E290" s="5">
        <v>36.2456022</v>
      </c>
      <c r="F290" s="3"/>
      <c r="G290" s="2" t="s">
        <v>259</v>
      </c>
      <c r="H290" s="2" t="s">
        <v>260</v>
      </c>
      <c r="I290" s="2" t="s">
        <v>260</v>
      </c>
      <c r="J290" s="2" t="s">
        <v>1100</v>
      </c>
      <c r="K290" s="2" t="s">
        <v>22</v>
      </c>
      <c r="L290" s="2" t="s">
        <v>23</v>
      </c>
      <c r="M290" s="3">
        <v>1</v>
      </c>
      <c r="N290" s="3">
        <v>1</v>
      </c>
      <c r="O290" s="9" t="s">
        <v>24</v>
      </c>
      <c r="P290" s="3">
        <v>0</v>
      </c>
    </row>
    <row r="291" spans="1:16" x14ac:dyDescent="0.3">
      <c r="A291" s="2" t="s">
        <v>1101</v>
      </c>
      <c r="B291" s="2" t="s">
        <v>1102</v>
      </c>
      <c r="C291" s="2" t="s">
        <v>18</v>
      </c>
      <c r="D291" s="5">
        <v>41.371889699999997</v>
      </c>
      <c r="E291" s="5">
        <v>36.227322399999998</v>
      </c>
      <c r="F291" s="3"/>
      <c r="G291" s="2" t="s">
        <v>259</v>
      </c>
      <c r="H291" s="2" t="s">
        <v>260</v>
      </c>
      <c r="I291" s="2" t="s">
        <v>260</v>
      </c>
      <c r="J291" s="2" t="s">
        <v>1103</v>
      </c>
      <c r="K291" s="2" t="s">
        <v>22</v>
      </c>
      <c r="L291" s="2" t="s">
        <v>23</v>
      </c>
      <c r="M291" s="3">
        <v>1</v>
      </c>
      <c r="N291" s="3">
        <v>1</v>
      </c>
      <c r="O291" s="9" t="s">
        <v>24</v>
      </c>
      <c r="P291" s="3">
        <v>0</v>
      </c>
    </row>
    <row r="292" spans="1:16" x14ac:dyDescent="0.3">
      <c r="A292" s="2" t="s">
        <v>1104</v>
      </c>
      <c r="B292" s="2" t="s">
        <v>1105</v>
      </c>
      <c r="C292" s="2" t="s">
        <v>18</v>
      </c>
      <c r="D292" s="5">
        <v>41.332844999999999</v>
      </c>
      <c r="E292" s="5">
        <v>36.252856999999999</v>
      </c>
      <c r="F292" s="3"/>
      <c r="G292" s="2" t="s">
        <v>259</v>
      </c>
      <c r="H292" s="2" t="s">
        <v>260</v>
      </c>
      <c r="I292" s="2" t="s">
        <v>260</v>
      </c>
      <c r="J292" s="2" t="s">
        <v>1106</v>
      </c>
      <c r="K292" s="2" t="s">
        <v>22</v>
      </c>
      <c r="L292" s="2" t="s">
        <v>23</v>
      </c>
      <c r="M292" s="3">
        <v>1</v>
      </c>
      <c r="N292" s="3">
        <v>1</v>
      </c>
      <c r="O292" s="9" t="s">
        <v>24</v>
      </c>
      <c r="P292" s="3">
        <v>0</v>
      </c>
    </row>
    <row r="293" spans="1:16" x14ac:dyDescent="0.3">
      <c r="A293" s="2" t="s">
        <v>1107</v>
      </c>
      <c r="B293" s="2" t="s">
        <v>1108</v>
      </c>
      <c r="C293" s="2" t="s">
        <v>18</v>
      </c>
      <c r="D293" s="5">
        <v>41.569367499999998</v>
      </c>
      <c r="E293" s="5">
        <v>35.8966736</v>
      </c>
      <c r="F293" s="3"/>
      <c r="G293" s="2" t="s">
        <v>259</v>
      </c>
      <c r="H293" s="2" t="s">
        <v>260</v>
      </c>
      <c r="I293" s="2" t="s">
        <v>260</v>
      </c>
      <c r="J293" s="2" t="s">
        <v>1109</v>
      </c>
      <c r="K293" s="2" t="s">
        <v>22</v>
      </c>
      <c r="L293" s="2" t="s">
        <v>53</v>
      </c>
      <c r="M293" s="3">
        <v>1</v>
      </c>
      <c r="N293" s="3">
        <v>1</v>
      </c>
      <c r="O293" s="9" t="s">
        <v>24</v>
      </c>
      <c r="P293" s="3">
        <v>0</v>
      </c>
    </row>
    <row r="294" spans="1:16" x14ac:dyDescent="0.3">
      <c r="A294" s="2" t="s">
        <v>1110</v>
      </c>
      <c r="B294" s="2" t="s">
        <v>1111</v>
      </c>
      <c r="C294" s="2" t="s">
        <v>18</v>
      </c>
      <c r="D294" s="5">
        <v>41.809418100000002</v>
      </c>
      <c r="E294" s="5">
        <v>35.191606999999998</v>
      </c>
      <c r="F294" s="3"/>
      <c r="G294" s="2" t="s">
        <v>259</v>
      </c>
      <c r="H294" s="2" t="s">
        <v>260</v>
      </c>
      <c r="I294" s="2" t="s">
        <v>260</v>
      </c>
      <c r="J294" s="2" t="s">
        <v>1112</v>
      </c>
      <c r="K294" s="2" t="s">
        <v>154</v>
      </c>
      <c r="L294" s="2" t="s">
        <v>302</v>
      </c>
      <c r="M294" s="3">
        <v>1</v>
      </c>
      <c r="N294" s="3">
        <v>1</v>
      </c>
      <c r="O294" s="9" t="s">
        <v>24</v>
      </c>
      <c r="P294" s="3">
        <v>0</v>
      </c>
    </row>
    <row r="295" spans="1:16" x14ac:dyDescent="0.3">
      <c r="A295" s="2" t="s">
        <v>1113</v>
      </c>
      <c r="B295" s="2" t="s">
        <v>1114</v>
      </c>
      <c r="C295" s="2" t="s">
        <v>18</v>
      </c>
      <c r="D295" s="5">
        <v>41.3054068</v>
      </c>
      <c r="E295" s="5">
        <v>36.330817400000001</v>
      </c>
      <c r="F295" s="3"/>
      <c r="G295" s="2" t="s">
        <v>259</v>
      </c>
      <c r="H295" s="2" t="s">
        <v>260</v>
      </c>
      <c r="I295" s="2" t="s">
        <v>260</v>
      </c>
      <c r="J295" s="2" t="s">
        <v>1115</v>
      </c>
      <c r="K295" s="2" t="s">
        <v>22</v>
      </c>
      <c r="L295" s="2" t="s">
        <v>32</v>
      </c>
      <c r="M295" s="3">
        <v>0</v>
      </c>
      <c r="N295" s="3">
        <v>1</v>
      </c>
      <c r="O295" s="9" t="s">
        <v>24</v>
      </c>
      <c r="P295" s="3">
        <v>0</v>
      </c>
    </row>
    <row r="296" spans="1:16" x14ac:dyDescent="0.3">
      <c r="A296" s="2" t="s">
        <v>1116</v>
      </c>
      <c r="B296" s="2" t="s">
        <v>1117</v>
      </c>
      <c r="C296" s="2" t="s">
        <v>18</v>
      </c>
      <c r="D296" s="5">
        <v>41.559468099999997</v>
      </c>
      <c r="E296" s="5">
        <v>35.904321299999999</v>
      </c>
      <c r="F296" s="3"/>
      <c r="G296" s="2" t="s">
        <v>259</v>
      </c>
      <c r="H296" s="2" t="s">
        <v>260</v>
      </c>
      <c r="I296" s="2" t="s">
        <v>260</v>
      </c>
      <c r="J296" s="2" t="s">
        <v>1118</v>
      </c>
      <c r="K296" s="2" t="s">
        <v>22</v>
      </c>
      <c r="L296" s="2" t="s">
        <v>53</v>
      </c>
      <c r="M296" s="3">
        <v>0</v>
      </c>
      <c r="N296" s="3">
        <v>1</v>
      </c>
      <c r="O296" s="9" t="s">
        <v>24</v>
      </c>
      <c r="P296" s="3">
        <v>0</v>
      </c>
    </row>
    <row r="297" spans="1:16" x14ac:dyDescent="0.3">
      <c r="A297" s="2" t="s">
        <v>1119</v>
      </c>
      <c r="B297" s="2" t="s">
        <v>1120</v>
      </c>
      <c r="C297" s="2" t="s">
        <v>18</v>
      </c>
      <c r="D297" s="5">
        <v>42.021129999999999</v>
      </c>
      <c r="E297" s="5">
        <v>35.16442</v>
      </c>
      <c r="F297" s="2" t="s">
        <v>1121</v>
      </c>
      <c r="G297" s="2" t="s">
        <v>28</v>
      </c>
      <c r="H297" s="2" t="s">
        <v>29</v>
      </c>
      <c r="I297" s="2" t="s">
        <v>30</v>
      </c>
      <c r="J297" s="2" t="s">
        <v>1122</v>
      </c>
      <c r="K297" s="2" t="s">
        <v>154</v>
      </c>
      <c r="L297" s="2" t="s">
        <v>155</v>
      </c>
      <c r="M297" s="3">
        <v>1</v>
      </c>
      <c r="N297" s="3">
        <v>1</v>
      </c>
      <c r="O297" s="9" t="s">
        <v>24</v>
      </c>
      <c r="P297" s="3">
        <v>0</v>
      </c>
    </row>
    <row r="298" spans="1:16" x14ac:dyDescent="0.3">
      <c r="A298" s="2" t="s">
        <v>1123</v>
      </c>
      <c r="B298" s="2" t="s">
        <v>1124</v>
      </c>
      <c r="C298" s="2" t="s">
        <v>18</v>
      </c>
      <c r="D298" s="5">
        <v>41.269089999999998</v>
      </c>
      <c r="E298" s="5">
        <v>36.320230000000002</v>
      </c>
      <c r="F298" s="2" t="s">
        <v>1125</v>
      </c>
      <c r="G298" s="2" t="s">
        <v>28</v>
      </c>
      <c r="H298" s="2" t="s">
        <v>29</v>
      </c>
      <c r="I298" s="2" t="s">
        <v>30</v>
      </c>
      <c r="J298" s="2" t="s">
        <v>1126</v>
      </c>
      <c r="K298" s="2" t="s">
        <v>22</v>
      </c>
      <c r="L298" s="2" t="s">
        <v>32</v>
      </c>
      <c r="M298" s="3">
        <v>0</v>
      </c>
      <c r="N298" s="3">
        <v>1</v>
      </c>
      <c r="O298" s="9" t="s">
        <v>24</v>
      </c>
      <c r="P298" s="3">
        <v>-0.77</v>
      </c>
    </row>
    <row r="299" spans="1:16" x14ac:dyDescent="0.3">
      <c r="A299" s="2" t="s">
        <v>1127</v>
      </c>
      <c r="B299" s="2" t="s">
        <v>1128</v>
      </c>
      <c r="C299" s="2" t="s">
        <v>18</v>
      </c>
      <c r="D299" s="5">
        <v>41.562678200000001</v>
      </c>
      <c r="E299" s="5">
        <v>35.893416100000003</v>
      </c>
      <c r="F299" s="2" t="s">
        <v>1129</v>
      </c>
      <c r="G299" s="2" t="s">
        <v>28</v>
      </c>
      <c r="H299" s="2" t="s">
        <v>29</v>
      </c>
      <c r="I299" s="2" t="s">
        <v>30</v>
      </c>
      <c r="J299" s="2" t="s">
        <v>1130</v>
      </c>
      <c r="K299" s="2" t="s">
        <v>22</v>
      </c>
      <c r="L299" s="2" t="s">
        <v>53</v>
      </c>
      <c r="M299" s="3">
        <v>1</v>
      </c>
      <c r="N299" s="3">
        <v>1</v>
      </c>
      <c r="O299" s="9" t="s">
        <v>24</v>
      </c>
      <c r="P299" s="3">
        <v>-1734.11</v>
      </c>
    </row>
    <row r="300" spans="1:16" x14ac:dyDescent="0.3">
      <c r="A300" s="2" t="s">
        <v>1131</v>
      </c>
      <c r="B300" s="2" t="s">
        <v>1132</v>
      </c>
      <c r="C300" s="2" t="s">
        <v>18</v>
      </c>
      <c r="D300" s="5">
        <v>41.285214799999999</v>
      </c>
      <c r="E300" s="5">
        <v>36.307548699999998</v>
      </c>
      <c r="F300" s="2" t="s">
        <v>1133</v>
      </c>
      <c r="G300" s="2" t="s">
        <v>28</v>
      </c>
      <c r="H300" s="2" t="s">
        <v>29</v>
      </c>
      <c r="I300" s="2" t="s">
        <v>30</v>
      </c>
      <c r="J300" s="2" t="s">
        <v>1134</v>
      </c>
      <c r="K300" s="2" t="s">
        <v>22</v>
      </c>
      <c r="L300" s="2" t="s">
        <v>32</v>
      </c>
      <c r="M300" s="3">
        <v>2</v>
      </c>
      <c r="N300" s="3">
        <v>1</v>
      </c>
      <c r="O300" s="9" t="s">
        <v>24</v>
      </c>
      <c r="P300" s="3">
        <v>-0.01</v>
      </c>
    </row>
    <row r="301" spans="1:16" x14ac:dyDescent="0.3">
      <c r="A301" s="2" t="s">
        <v>1135</v>
      </c>
      <c r="B301" s="2" t="s">
        <v>1136</v>
      </c>
      <c r="C301" s="2" t="s">
        <v>18</v>
      </c>
      <c r="D301" s="5">
        <v>41.264988299999999</v>
      </c>
      <c r="E301" s="5">
        <v>36.363307300000002</v>
      </c>
      <c r="F301" s="2" t="s">
        <v>1137</v>
      </c>
      <c r="G301" s="2" t="s">
        <v>28</v>
      </c>
      <c r="H301" s="2" t="s">
        <v>29</v>
      </c>
      <c r="I301" s="2" t="s">
        <v>30</v>
      </c>
      <c r="J301" s="2" t="s">
        <v>1138</v>
      </c>
      <c r="K301" s="2" t="s">
        <v>22</v>
      </c>
      <c r="L301" s="2" t="s">
        <v>99</v>
      </c>
      <c r="M301" s="3">
        <v>1</v>
      </c>
      <c r="N301" s="3">
        <v>1</v>
      </c>
      <c r="O301" s="9" t="s">
        <v>24</v>
      </c>
      <c r="P301" s="3">
        <v>467.94</v>
      </c>
    </row>
    <row r="302" spans="1:16" x14ac:dyDescent="0.3">
      <c r="A302" s="2" t="s">
        <v>1139</v>
      </c>
      <c r="B302" s="2" t="s">
        <v>1140</v>
      </c>
      <c r="C302" s="2" t="s">
        <v>18</v>
      </c>
      <c r="D302" s="5">
        <v>41.346631700000003</v>
      </c>
      <c r="E302" s="5">
        <v>36.250410100000003</v>
      </c>
      <c r="F302" s="2" t="s">
        <v>1141</v>
      </c>
      <c r="G302" s="2" t="s">
        <v>221</v>
      </c>
      <c r="H302" s="2" t="s">
        <v>1049</v>
      </c>
      <c r="I302" s="2" t="s">
        <v>1049</v>
      </c>
      <c r="J302" s="2" t="s">
        <v>1142</v>
      </c>
      <c r="K302" s="2" t="s">
        <v>22</v>
      </c>
      <c r="L302" s="2" t="s">
        <v>23</v>
      </c>
      <c r="M302" s="3">
        <v>1</v>
      </c>
      <c r="N302" s="3">
        <v>1</v>
      </c>
      <c r="O302" s="9" t="s">
        <v>24</v>
      </c>
      <c r="P302" s="3">
        <v>286.25</v>
      </c>
    </row>
    <row r="303" spans="1:16" x14ac:dyDescent="0.3">
      <c r="A303" s="2" t="s">
        <v>1143</v>
      </c>
      <c r="B303" s="2" t="s">
        <v>1144</v>
      </c>
      <c r="C303" s="2" t="s">
        <v>18</v>
      </c>
      <c r="D303" s="5">
        <v>41.124977100000002</v>
      </c>
      <c r="E303" s="5">
        <v>37.283611399999998</v>
      </c>
      <c r="F303" s="3"/>
      <c r="G303" s="2" t="s">
        <v>259</v>
      </c>
      <c r="H303" s="2" t="s">
        <v>260</v>
      </c>
      <c r="I303" s="2" t="s">
        <v>260</v>
      </c>
      <c r="J303" s="2" t="s">
        <v>1145</v>
      </c>
      <c r="K303" s="2" t="s">
        <v>63</v>
      </c>
      <c r="L303" s="2" t="s">
        <v>89</v>
      </c>
      <c r="M303" s="3">
        <v>1</v>
      </c>
      <c r="N303" s="3">
        <v>1</v>
      </c>
      <c r="O303" s="9" t="s">
        <v>24</v>
      </c>
      <c r="P303" s="3">
        <v>0</v>
      </c>
    </row>
    <row r="304" spans="1:16" x14ac:dyDescent="0.3">
      <c r="A304" s="2" t="s">
        <v>1146</v>
      </c>
      <c r="B304" s="2" t="s">
        <v>1147</v>
      </c>
      <c r="C304" s="2" t="s">
        <v>18</v>
      </c>
      <c r="D304" s="5">
        <v>41.142941499999999</v>
      </c>
      <c r="E304" s="5">
        <v>37.277856</v>
      </c>
      <c r="F304" s="3"/>
      <c r="G304" s="2" t="s">
        <v>259</v>
      </c>
      <c r="H304" s="2" t="s">
        <v>260</v>
      </c>
      <c r="I304" s="2" t="s">
        <v>260</v>
      </c>
      <c r="J304" s="2" t="s">
        <v>1148</v>
      </c>
      <c r="K304" s="2" t="s">
        <v>63</v>
      </c>
      <c r="L304" s="2" t="s">
        <v>89</v>
      </c>
      <c r="M304" s="3">
        <v>1</v>
      </c>
      <c r="N304" s="3">
        <v>1</v>
      </c>
      <c r="O304" s="9" t="s">
        <v>24</v>
      </c>
      <c r="P304" s="3">
        <v>0</v>
      </c>
    </row>
    <row r="305" spans="1:16" x14ac:dyDescent="0.3">
      <c r="A305" s="2" t="s">
        <v>1149</v>
      </c>
      <c r="B305" s="2" t="s">
        <v>1150</v>
      </c>
      <c r="C305" s="2" t="s">
        <v>18</v>
      </c>
      <c r="D305" s="5">
        <v>41.5241282</v>
      </c>
      <c r="E305" s="5">
        <v>35.976119599999997</v>
      </c>
      <c r="F305" s="2" t="s">
        <v>1151</v>
      </c>
      <c r="G305" s="2" t="s">
        <v>28</v>
      </c>
      <c r="H305" s="2" t="s">
        <v>318</v>
      </c>
      <c r="I305" s="2" t="s">
        <v>30</v>
      </c>
      <c r="J305" s="2" t="s">
        <v>1152</v>
      </c>
      <c r="K305" s="2" t="s">
        <v>22</v>
      </c>
      <c r="L305" s="2" t="s">
        <v>53</v>
      </c>
      <c r="M305" s="3">
        <v>1</v>
      </c>
      <c r="N305" s="3">
        <v>1</v>
      </c>
      <c r="O305" s="9" t="s">
        <v>24</v>
      </c>
      <c r="P305" s="3">
        <v>-9385</v>
      </c>
    </row>
    <row r="306" spans="1:16" x14ac:dyDescent="0.3">
      <c r="A306" s="2" t="s">
        <v>1153</v>
      </c>
      <c r="B306" s="2" t="s">
        <v>1154</v>
      </c>
      <c r="C306" s="2" t="s">
        <v>18</v>
      </c>
      <c r="D306" s="5">
        <v>41.198430000000002</v>
      </c>
      <c r="E306" s="5">
        <v>36.741039999999998</v>
      </c>
      <c r="F306" s="2" t="s">
        <v>1155</v>
      </c>
      <c r="G306" s="2" t="s">
        <v>28</v>
      </c>
      <c r="H306" s="2" t="s">
        <v>29</v>
      </c>
      <c r="I306" s="2" t="s">
        <v>30</v>
      </c>
      <c r="J306" s="2" t="s">
        <v>1156</v>
      </c>
      <c r="K306" s="2" t="s">
        <v>22</v>
      </c>
      <c r="L306" s="2" t="s">
        <v>44</v>
      </c>
      <c r="M306" s="3">
        <v>0</v>
      </c>
      <c r="N306" s="3">
        <v>1</v>
      </c>
      <c r="O306" s="9" t="s">
        <v>54</v>
      </c>
      <c r="P306" s="3">
        <v>-0.56999999999999995</v>
      </c>
    </row>
    <row r="307" spans="1:16" x14ac:dyDescent="0.3">
      <c r="A307" s="2" t="s">
        <v>1157</v>
      </c>
      <c r="B307" s="2" t="s">
        <v>1158</v>
      </c>
      <c r="C307" s="2" t="s">
        <v>18</v>
      </c>
      <c r="D307" s="5">
        <v>41.207727900000002</v>
      </c>
      <c r="E307" s="5">
        <v>36.968131</v>
      </c>
      <c r="F307" s="2" t="s">
        <v>1159</v>
      </c>
      <c r="G307" s="2" t="s">
        <v>28</v>
      </c>
      <c r="H307" s="2" t="s">
        <v>29</v>
      </c>
      <c r="I307" s="2" t="s">
        <v>30</v>
      </c>
      <c r="J307" s="2" t="s">
        <v>1160</v>
      </c>
      <c r="K307" s="2" t="s">
        <v>22</v>
      </c>
      <c r="L307" s="2" t="s">
        <v>328</v>
      </c>
      <c r="M307" s="3">
        <v>1</v>
      </c>
      <c r="N307" s="3">
        <v>1</v>
      </c>
      <c r="O307" s="9" t="s">
        <v>24</v>
      </c>
      <c r="P307" s="3">
        <v>-3357.63</v>
      </c>
    </row>
    <row r="308" spans="1:16" x14ac:dyDescent="0.3">
      <c r="A308" s="2" t="s">
        <v>1161</v>
      </c>
      <c r="B308" s="2" t="s">
        <v>1162</v>
      </c>
      <c r="C308" s="2" t="s">
        <v>18</v>
      </c>
      <c r="D308" s="5">
        <v>41.374971899999998</v>
      </c>
      <c r="E308" s="5">
        <v>36.216771700000002</v>
      </c>
      <c r="F308" s="2" t="s">
        <v>1163</v>
      </c>
      <c r="G308" s="2" t="s">
        <v>221</v>
      </c>
      <c r="H308" s="2" t="s">
        <v>1049</v>
      </c>
      <c r="I308" s="2" t="s">
        <v>1049</v>
      </c>
      <c r="J308" s="2" t="s">
        <v>1164</v>
      </c>
      <c r="K308" s="2" t="s">
        <v>22</v>
      </c>
      <c r="L308" s="2" t="s">
        <v>23</v>
      </c>
      <c r="M308" s="3">
        <v>1</v>
      </c>
      <c r="N308" s="3">
        <v>1</v>
      </c>
      <c r="O308" s="9" t="s">
        <v>24</v>
      </c>
      <c r="P308" s="3">
        <v>-0.13</v>
      </c>
    </row>
    <row r="309" spans="1:16" x14ac:dyDescent="0.3">
      <c r="A309" s="2" t="s">
        <v>1165</v>
      </c>
      <c r="B309" s="2" t="s">
        <v>1166</v>
      </c>
      <c r="C309" s="2" t="s">
        <v>18</v>
      </c>
      <c r="D309" s="5">
        <v>41.4944293</v>
      </c>
      <c r="E309" s="5">
        <v>36.077966500000002</v>
      </c>
      <c r="F309" s="2" t="s">
        <v>1167</v>
      </c>
      <c r="G309" s="2" t="s">
        <v>221</v>
      </c>
      <c r="H309" s="2" t="s">
        <v>1049</v>
      </c>
      <c r="I309" s="2" t="s">
        <v>1049</v>
      </c>
      <c r="J309" s="2" t="s">
        <v>1168</v>
      </c>
      <c r="K309" s="2" t="s">
        <v>22</v>
      </c>
      <c r="L309" s="2" t="s">
        <v>23</v>
      </c>
      <c r="M309" s="3">
        <v>2</v>
      </c>
      <c r="N309" s="3">
        <v>1</v>
      </c>
      <c r="O309" s="9" t="s">
        <v>24</v>
      </c>
      <c r="P309" s="3">
        <v>-1.52</v>
      </c>
    </row>
    <row r="310" spans="1:16" x14ac:dyDescent="0.3">
      <c r="A310" s="2" t="s">
        <v>1169</v>
      </c>
      <c r="B310" s="2" t="s">
        <v>1170</v>
      </c>
      <c r="C310" s="2" t="s">
        <v>18</v>
      </c>
      <c r="D310" s="5">
        <v>41.362751699999997</v>
      </c>
      <c r="E310" s="5">
        <v>36.23169</v>
      </c>
      <c r="F310" s="2" t="s">
        <v>1171</v>
      </c>
      <c r="G310" s="2" t="s">
        <v>221</v>
      </c>
      <c r="H310" s="2" t="s">
        <v>918</v>
      </c>
      <c r="I310" s="2" t="s">
        <v>918</v>
      </c>
      <c r="J310" s="2" t="s">
        <v>1172</v>
      </c>
      <c r="K310" s="2" t="s">
        <v>22</v>
      </c>
      <c r="L310" s="2" t="s">
        <v>23</v>
      </c>
      <c r="M310" s="3">
        <v>0</v>
      </c>
      <c r="N310" s="3">
        <v>0</v>
      </c>
      <c r="O310" s="9" t="s">
        <v>24</v>
      </c>
      <c r="P310" s="3">
        <v>0</v>
      </c>
    </row>
    <row r="311" spans="1:16" x14ac:dyDescent="0.3">
      <c r="A311" s="2" t="s">
        <v>1173</v>
      </c>
      <c r="B311" s="2" t="s">
        <v>1174</v>
      </c>
      <c r="C311" s="2" t="s">
        <v>18</v>
      </c>
      <c r="D311" s="5">
        <v>41.565860499999999</v>
      </c>
      <c r="E311" s="5">
        <v>35.918162799999998</v>
      </c>
      <c r="F311" s="2" t="s">
        <v>1175</v>
      </c>
      <c r="G311" s="2" t="s">
        <v>221</v>
      </c>
      <c r="H311" s="2" t="s">
        <v>1049</v>
      </c>
      <c r="I311" s="2" t="s">
        <v>1049</v>
      </c>
      <c r="J311" s="2" t="s">
        <v>1176</v>
      </c>
      <c r="K311" s="2" t="s">
        <v>22</v>
      </c>
      <c r="L311" s="2" t="s">
        <v>53</v>
      </c>
      <c r="M311" s="3">
        <v>0</v>
      </c>
      <c r="N311" s="3">
        <v>0</v>
      </c>
      <c r="O311" s="9" t="s">
        <v>24</v>
      </c>
      <c r="P311" s="3">
        <v>0</v>
      </c>
    </row>
    <row r="312" spans="1:16" x14ac:dyDescent="0.3">
      <c r="A312" s="2" t="s">
        <v>1177</v>
      </c>
      <c r="B312" s="2" t="s">
        <v>1178</v>
      </c>
      <c r="C312" s="2" t="s">
        <v>18</v>
      </c>
      <c r="D312" s="5">
        <v>42.018661700000003</v>
      </c>
      <c r="E312" s="5">
        <v>35.172971500000003</v>
      </c>
      <c r="F312" s="2" t="s">
        <v>1179</v>
      </c>
      <c r="G312" s="2" t="s">
        <v>221</v>
      </c>
      <c r="H312" s="2" t="s">
        <v>1049</v>
      </c>
      <c r="I312" s="2" t="s">
        <v>1049</v>
      </c>
      <c r="J312" s="2" t="s">
        <v>1180</v>
      </c>
      <c r="K312" s="2" t="s">
        <v>154</v>
      </c>
      <c r="L312" s="2" t="s">
        <v>155</v>
      </c>
      <c r="M312" s="3">
        <v>2</v>
      </c>
      <c r="N312" s="3">
        <v>1</v>
      </c>
      <c r="O312" s="9" t="s">
        <v>24</v>
      </c>
      <c r="P312" s="3">
        <v>0</v>
      </c>
    </row>
    <row r="313" spans="1:16" x14ac:dyDescent="0.3">
      <c r="A313" s="2" t="s">
        <v>1181</v>
      </c>
      <c r="B313" s="2" t="s">
        <v>1182</v>
      </c>
      <c r="C313" s="2" t="s">
        <v>18</v>
      </c>
      <c r="D313" s="5">
        <v>41.337409999999998</v>
      </c>
      <c r="E313" s="5">
        <v>36.706319999999998</v>
      </c>
      <c r="F313" s="2" t="s">
        <v>1183</v>
      </c>
      <c r="G313" s="2" t="s">
        <v>28</v>
      </c>
      <c r="H313" s="2" t="s">
        <v>29</v>
      </c>
      <c r="I313" s="2" t="s">
        <v>30</v>
      </c>
      <c r="J313" s="2" t="s">
        <v>1184</v>
      </c>
      <c r="K313" s="2" t="s">
        <v>22</v>
      </c>
      <c r="L313" s="2" t="s">
        <v>44</v>
      </c>
      <c r="M313" s="3">
        <v>1</v>
      </c>
      <c r="N313" s="3">
        <v>1</v>
      </c>
      <c r="O313" s="9" t="s">
        <v>54</v>
      </c>
      <c r="P313" s="3">
        <v>-625.36</v>
      </c>
    </row>
    <row r="314" spans="1:16" x14ac:dyDescent="0.3">
      <c r="A314" s="2" t="s">
        <v>1185</v>
      </c>
      <c r="B314" s="2" t="s">
        <v>1186</v>
      </c>
      <c r="C314" s="2" t="s">
        <v>18</v>
      </c>
      <c r="D314" s="5">
        <v>41.336056200000002</v>
      </c>
      <c r="E314" s="5">
        <v>36.2534001</v>
      </c>
      <c r="F314" s="3"/>
      <c r="G314" s="2" t="s">
        <v>19</v>
      </c>
      <c r="H314" s="2" t="s">
        <v>20</v>
      </c>
      <c r="I314" s="2" t="s">
        <v>19</v>
      </c>
      <c r="J314" s="2" t="s">
        <v>1187</v>
      </c>
      <c r="K314" s="2" t="s">
        <v>22</v>
      </c>
      <c r="L314" s="2" t="s">
        <v>23</v>
      </c>
      <c r="M314" s="3">
        <v>2</v>
      </c>
      <c r="N314" s="3">
        <v>1</v>
      </c>
      <c r="O314" s="9" t="s">
        <v>24</v>
      </c>
      <c r="P314" s="3">
        <v>0</v>
      </c>
    </row>
    <row r="315" spans="1:16" x14ac:dyDescent="0.3">
      <c r="A315" s="2" t="s">
        <v>1188</v>
      </c>
      <c r="B315" s="2" t="s">
        <v>1189</v>
      </c>
      <c r="C315" s="2" t="s">
        <v>18</v>
      </c>
      <c r="D315" s="5">
        <v>41.136711699999999</v>
      </c>
      <c r="E315" s="5">
        <v>37.285006699999997</v>
      </c>
      <c r="F315" s="2" t="s">
        <v>1190</v>
      </c>
      <c r="G315" s="2" t="s">
        <v>28</v>
      </c>
      <c r="H315" s="2" t="s">
        <v>318</v>
      </c>
      <c r="I315" s="2" t="s">
        <v>30</v>
      </c>
      <c r="J315" s="2" t="s">
        <v>1191</v>
      </c>
      <c r="K315" s="2" t="s">
        <v>63</v>
      </c>
      <c r="L315" s="2" t="s">
        <v>89</v>
      </c>
      <c r="M315" s="3">
        <v>1</v>
      </c>
      <c r="N315" s="3">
        <v>1</v>
      </c>
      <c r="O315" s="9" t="s">
        <v>54</v>
      </c>
      <c r="P315" s="3">
        <v>0</v>
      </c>
    </row>
    <row r="316" spans="1:16" x14ac:dyDescent="0.3">
      <c r="A316" s="2" t="s">
        <v>1192</v>
      </c>
      <c r="B316" s="2" t="s">
        <v>1193</v>
      </c>
      <c r="C316" s="2" t="s">
        <v>18</v>
      </c>
      <c r="D316" s="5">
        <v>41.174710099999999</v>
      </c>
      <c r="E316" s="5">
        <v>36.804103499999997</v>
      </c>
      <c r="F316" s="2" t="s">
        <v>1194</v>
      </c>
      <c r="G316" s="2" t="s">
        <v>28</v>
      </c>
      <c r="H316" s="2" t="s">
        <v>29</v>
      </c>
      <c r="I316" s="2" t="s">
        <v>30</v>
      </c>
      <c r="J316" s="2" t="s">
        <v>1195</v>
      </c>
      <c r="K316" s="2" t="s">
        <v>22</v>
      </c>
      <c r="L316" s="2" t="s">
        <v>44</v>
      </c>
      <c r="M316" s="3">
        <v>2</v>
      </c>
      <c r="N316" s="3">
        <v>1</v>
      </c>
      <c r="O316" s="9" t="s">
        <v>24</v>
      </c>
      <c r="P316" s="3">
        <v>-0.06</v>
      </c>
    </row>
    <row r="317" spans="1:16" x14ac:dyDescent="0.3">
      <c r="A317" s="2" t="s">
        <v>1196</v>
      </c>
      <c r="B317" s="2" t="s">
        <v>1197</v>
      </c>
      <c r="C317" s="2" t="s">
        <v>18</v>
      </c>
      <c r="D317" s="5">
        <v>41.599346300000001</v>
      </c>
      <c r="E317" s="5">
        <v>35.877994399999999</v>
      </c>
      <c r="F317" s="2" t="s">
        <v>1198</v>
      </c>
      <c r="G317" s="2" t="s">
        <v>28</v>
      </c>
      <c r="H317" s="2" t="s">
        <v>29</v>
      </c>
      <c r="I317" s="2" t="s">
        <v>30</v>
      </c>
      <c r="J317" s="2" t="s">
        <v>1199</v>
      </c>
      <c r="K317" s="2" t="s">
        <v>22</v>
      </c>
      <c r="L317" s="2" t="s">
        <v>53</v>
      </c>
      <c r="M317" s="3">
        <v>2</v>
      </c>
      <c r="N317" s="3">
        <v>1</v>
      </c>
      <c r="O317" s="9" t="s">
        <v>24</v>
      </c>
      <c r="P317" s="3">
        <v>-1515.44</v>
      </c>
    </row>
    <row r="318" spans="1:16" x14ac:dyDescent="0.3">
      <c r="A318" s="2" t="s">
        <v>1200</v>
      </c>
      <c r="B318" s="2" t="s">
        <v>1201</v>
      </c>
      <c r="C318" s="2" t="s">
        <v>18</v>
      </c>
      <c r="D318" s="5">
        <v>41.142460900000003</v>
      </c>
      <c r="E318" s="5">
        <v>37.283264000000003</v>
      </c>
      <c r="F318" s="2" t="s">
        <v>456</v>
      </c>
      <c r="G318" s="2" t="s">
        <v>348</v>
      </c>
      <c r="H318" s="2" t="s">
        <v>349</v>
      </c>
      <c r="I318" s="2" t="s">
        <v>37</v>
      </c>
      <c r="J318" s="2" t="s">
        <v>1202</v>
      </c>
      <c r="K318" s="2" t="s">
        <v>63</v>
      </c>
      <c r="L318" s="2" t="s">
        <v>89</v>
      </c>
      <c r="M318" s="3">
        <v>1</v>
      </c>
      <c r="N318" s="3">
        <v>1</v>
      </c>
      <c r="O318" s="9" t="s">
        <v>54</v>
      </c>
      <c r="P318" s="3">
        <v>0</v>
      </c>
    </row>
    <row r="319" spans="1:16" x14ac:dyDescent="0.3">
      <c r="A319" s="2" t="s">
        <v>1203</v>
      </c>
      <c r="B319" s="2" t="s">
        <v>1204</v>
      </c>
      <c r="C319" s="2" t="s">
        <v>18</v>
      </c>
      <c r="D319" s="5">
        <v>41.269161500000003</v>
      </c>
      <c r="E319" s="5">
        <v>36.371759900000001</v>
      </c>
      <c r="F319" s="2" t="s">
        <v>1205</v>
      </c>
      <c r="G319" s="2" t="s">
        <v>28</v>
      </c>
      <c r="H319" s="2" t="s">
        <v>36</v>
      </c>
      <c r="I319" s="2" t="s">
        <v>37</v>
      </c>
      <c r="J319" s="2" t="s">
        <v>1206</v>
      </c>
      <c r="K319" s="2" t="s">
        <v>22</v>
      </c>
      <c r="L319" s="2" t="s">
        <v>99</v>
      </c>
      <c r="M319" s="3">
        <v>1</v>
      </c>
      <c r="N319" s="3">
        <v>1</v>
      </c>
      <c r="O319" s="9" t="s">
        <v>24</v>
      </c>
      <c r="P319" s="3">
        <v>0</v>
      </c>
    </row>
    <row r="320" spans="1:16" x14ac:dyDescent="0.3">
      <c r="A320" s="2" t="s">
        <v>1207</v>
      </c>
      <c r="B320" s="2" t="s">
        <v>1208</v>
      </c>
      <c r="C320" s="2" t="s">
        <v>18</v>
      </c>
      <c r="D320" s="5">
        <v>41.2723181</v>
      </c>
      <c r="E320" s="5">
        <v>36.3418092</v>
      </c>
      <c r="F320" s="3"/>
      <c r="G320" s="2" t="s">
        <v>259</v>
      </c>
      <c r="H320" s="2" t="s">
        <v>260</v>
      </c>
      <c r="I320" s="2" t="s">
        <v>260</v>
      </c>
      <c r="J320" s="2" t="s">
        <v>1209</v>
      </c>
      <c r="K320" s="2" t="s">
        <v>22</v>
      </c>
      <c r="L320" s="2" t="s">
        <v>32</v>
      </c>
      <c r="M320" s="3">
        <v>1</v>
      </c>
      <c r="N320" s="3">
        <v>1</v>
      </c>
      <c r="O320" s="9" t="s">
        <v>24</v>
      </c>
      <c r="P320" s="3">
        <v>0</v>
      </c>
    </row>
    <row r="321" spans="1:16" x14ac:dyDescent="0.3">
      <c r="A321" s="2" t="s">
        <v>1210</v>
      </c>
      <c r="B321" s="2" t="s">
        <v>1211</v>
      </c>
      <c r="C321" s="2" t="s">
        <v>18</v>
      </c>
      <c r="D321" s="5">
        <v>41.348583300000001</v>
      </c>
      <c r="E321" s="5">
        <v>36.234513300000003</v>
      </c>
      <c r="F321" s="3"/>
      <c r="G321" s="2" t="s">
        <v>259</v>
      </c>
      <c r="H321" s="2" t="s">
        <v>260</v>
      </c>
      <c r="I321" s="2" t="s">
        <v>260</v>
      </c>
      <c r="J321" s="2" t="s">
        <v>1212</v>
      </c>
      <c r="K321" s="2" t="s">
        <v>22</v>
      </c>
      <c r="L321" s="2" t="s">
        <v>23</v>
      </c>
      <c r="M321" s="3">
        <v>1</v>
      </c>
      <c r="N321" s="3">
        <v>1</v>
      </c>
      <c r="O321" s="9" t="s">
        <v>24</v>
      </c>
      <c r="P321" s="3">
        <v>0</v>
      </c>
    </row>
    <row r="322" spans="1:16" x14ac:dyDescent="0.3">
      <c r="A322" s="2" t="s">
        <v>1213</v>
      </c>
      <c r="B322" s="2" t="s">
        <v>1214</v>
      </c>
      <c r="C322" s="2" t="s">
        <v>18</v>
      </c>
      <c r="D322" s="5">
        <v>41.267829999999996</v>
      </c>
      <c r="E322" s="5">
        <v>36.366399999999999</v>
      </c>
      <c r="F322" s="2" t="s">
        <v>1215</v>
      </c>
      <c r="G322" s="2" t="s">
        <v>28</v>
      </c>
      <c r="H322" s="2" t="s">
        <v>29</v>
      </c>
      <c r="I322" s="2" t="s">
        <v>30</v>
      </c>
      <c r="J322" s="2" t="s">
        <v>1216</v>
      </c>
      <c r="K322" s="2" t="s">
        <v>22</v>
      </c>
      <c r="L322" s="2" t="s">
        <v>99</v>
      </c>
      <c r="M322" s="3">
        <v>1</v>
      </c>
      <c r="N322" s="3">
        <v>1</v>
      </c>
      <c r="O322" s="9" t="s">
        <v>24</v>
      </c>
      <c r="P322" s="3">
        <v>-722.1</v>
      </c>
    </row>
    <row r="323" spans="1:16" x14ac:dyDescent="0.3">
      <c r="A323" s="2" t="s">
        <v>1217</v>
      </c>
      <c r="B323" s="2" t="s">
        <v>1218</v>
      </c>
      <c r="C323" s="2" t="s">
        <v>18</v>
      </c>
      <c r="D323" s="5">
        <v>41.205899299999999</v>
      </c>
      <c r="E323" s="5">
        <v>35.439119099999999</v>
      </c>
      <c r="F323" s="2" t="s">
        <v>1219</v>
      </c>
      <c r="G323" s="2" t="s">
        <v>28</v>
      </c>
      <c r="H323" s="2" t="s">
        <v>29</v>
      </c>
      <c r="I323" s="2" t="s">
        <v>30</v>
      </c>
      <c r="J323" s="2" t="s">
        <v>1220</v>
      </c>
      <c r="K323" s="2" t="s">
        <v>22</v>
      </c>
      <c r="L323" s="2" t="s">
        <v>164</v>
      </c>
      <c r="M323" s="3">
        <v>0</v>
      </c>
      <c r="N323" s="3">
        <v>1</v>
      </c>
      <c r="O323" s="9" t="s">
        <v>24</v>
      </c>
      <c r="P323" s="3">
        <v>-0.09</v>
      </c>
    </row>
    <row r="324" spans="1:16" x14ac:dyDescent="0.3">
      <c r="A324" s="2" t="s">
        <v>1221</v>
      </c>
      <c r="B324" s="2" t="s">
        <v>1222</v>
      </c>
      <c r="C324" s="2" t="s">
        <v>18</v>
      </c>
      <c r="D324" s="5">
        <v>41.299591399999997</v>
      </c>
      <c r="E324" s="5">
        <v>36.324752400000001</v>
      </c>
      <c r="F324" s="2" t="s">
        <v>1223</v>
      </c>
      <c r="G324" s="2" t="s">
        <v>28</v>
      </c>
      <c r="H324" s="2" t="s">
        <v>36</v>
      </c>
      <c r="I324" s="2" t="s">
        <v>37</v>
      </c>
      <c r="J324" s="2" t="s">
        <v>1224</v>
      </c>
      <c r="K324" s="2" t="s">
        <v>22</v>
      </c>
      <c r="L324" s="2" t="s">
        <v>32</v>
      </c>
      <c r="M324" s="3">
        <v>1</v>
      </c>
      <c r="N324" s="3">
        <v>1</v>
      </c>
      <c r="O324" s="9" t="s">
        <v>24</v>
      </c>
      <c r="P324" s="3">
        <v>-3973.37</v>
      </c>
    </row>
    <row r="325" spans="1:16" x14ac:dyDescent="0.3">
      <c r="A325" s="2" t="s">
        <v>1225</v>
      </c>
      <c r="B325" s="2" t="s">
        <v>1226</v>
      </c>
      <c r="C325" s="2" t="s">
        <v>18</v>
      </c>
      <c r="D325" s="5">
        <v>41.145470000000003</v>
      </c>
      <c r="E325" s="5">
        <v>35.465490000000003</v>
      </c>
      <c r="F325" s="2" t="s">
        <v>1227</v>
      </c>
      <c r="G325" s="2" t="s">
        <v>28</v>
      </c>
      <c r="H325" s="2" t="s">
        <v>29</v>
      </c>
      <c r="I325" s="2" t="s">
        <v>30</v>
      </c>
      <c r="J325" s="2" t="s">
        <v>1228</v>
      </c>
      <c r="K325" s="2" t="s">
        <v>22</v>
      </c>
      <c r="L325" s="2" t="s">
        <v>164</v>
      </c>
      <c r="M325" s="3">
        <v>0</v>
      </c>
      <c r="N325" s="3">
        <v>0</v>
      </c>
      <c r="O325" s="9" t="s">
        <v>24</v>
      </c>
      <c r="P325" s="3">
        <v>0</v>
      </c>
    </row>
    <row r="326" spans="1:16" x14ac:dyDescent="0.3">
      <c r="A326" s="2" t="s">
        <v>1229</v>
      </c>
      <c r="B326" s="2" t="s">
        <v>1230</v>
      </c>
      <c r="C326" s="2" t="s">
        <v>18</v>
      </c>
      <c r="D326" s="5">
        <v>41.3241625</v>
      </c>
      <c r="E326" s="5">
        <v>36.616722899999999</v>
      </c>
      <c r="F326" s="2" t="s">
        <v>1231</v>
      </c>
      <c r="G326" s="2" t="s">
        <v>28</v>
      </c>
      <c r="H326" s="2" t="s">
        <v>29</v>
      </c>
      <c r="I326" s="2" t="s">
        <v>30</v>
      </c>
      <c r="J326" s="2" t="s">
        <v>1232</v>
      </c>
      <c r="K326" s="2" t="s">
        <v>22</v>
      </c>
      <c r="L326" s="2" t="s">
        <v>44</v>
      </c>
      <c r="M326" s="3">
        <v>0</v>
      </c>
      <c r="N326" s="3">
        <v>1</v>
      </c>
      <c r="O326" s="9" t="s">
        <v>24</v>
      </c>
      <c r="P326" s="3">
        <v>0</v>
      </c>
    </row>
    <row r="327" spans="1:16" x14ac:dyDescent="0.3">
      <c r="A327" s="2" t="s">
        <v>1233</v>
      </c>
      <c r="B327" s="2" t="s">
        <v>1234</v>
      </c>
      <c r="C327" s="2" t="s">
        <v>18</v>
      </c>
      <c r="D327" s="5">
        <v>41.325993674671999</v>
      </c>
      <c r="E327" s="5">
        <v>36.279082473998002</v>
      </c>
      <c r="F327" s="2" t="s">
        <v>1235</v>
      </c>
      <c r="G327" s="2" t="s">
        <v>221</v>
      </c>
      <c r="H327" s="2" t="s">
        <v>222</v>
      </c>
      <c r="I327" s="2" t="s">
        <v>222</v>
      </c>
      <c r="J327" s="2" t="s">
        <v>1236</v>
      </c>
      <c r="K327" s="2" t="s">
        <v>22</v>
      </c>
      <c r="L327" s="2" t="s">
        <v>23</v>
      </c>
      <c r="M327" s="3">
        <v>1</v>
      </c>
      <c r="N327" s="3">
        <v>1</v>
      </c>
      <c r="O327" s="9" t="s">
        <v>24</v>
      </c>
      <c r="P327" s="3">
        <v>0</v>
      </c>
    </row>
    <row r="328" spans="1:16" x14ac:dyDescent="0.3">
      <c r="A328" s="2" t="s">
        <v>1237</v>
      </c>
      <c r="B328" s="2" t="s">
        <v>1238</v>
      </c>
      <c r="C328" s="2" t="s">
        <v>18</v>
      </c>
      <c r="D328" s="5">
        <v>41.253464600000001</v>
      </c>
      <c r="E328" s="5">
        <v>36.3613219</v>
      </c>
      <c r="F328" s="3"/>
      <c r="G328" s="2" t="s">
        <v>259</v>
      </c>
      <c r="H328" s="2" t="s">
        <v>260</v>
      </c>
      <c r="I328" s="2" t="s">
        <v>260</v>
      </c>
      <c r="J328" s="2" t="s">
        <v>1239</v>
      </c>
      <c r="K328" s="2" t="s">
        <v>22</v>
      </c>
      <c r="L328" s="2" t="s">
        <v>99</v>
      </c>
      <c r="M328" s="3">
        <v>1</v>
      </c>
      <c r="N328" s="3">
        <v>1</v>
      </c>
      <c r="O328" s="9" t="s">
        <v>24</v>
      </c>
      <c r="P328" s="3">
        <v>0</v>
      </c>
    </row>
    <row r="329" spans="1:16" x14ac:dyDescent="0.3">
      <c r="A329" s="2" t="s">
        <v>1240</v>
      </c>
      <c r="B329" s="2" t="s">
        <v>1241</v>
      </c>
      <c r="C329" s="2" t="s">
        <v>18</v>
      </c>
      <c r="D329" s="5">
        <v>41.137840300000001</v>
      </c>
      <c r="E329" s="5">
        <v>35.461122899999999</v>
      </c>
      <c r="F329" s="3"/>
      <c r="G329" s="2" t="s">
        <v>259</v>
      </c>
      <c r="H329" s="2" t="s">
        <v>260</v>
      </c>
      <c r="I329" s="2" t="s">
        <v>260</v>
      </c>
      <c r="J329" s="2" t="s">
        <v>1242</v>
      </c>
      <c r="K329" s="2" t="s">
        <v>22</v>
      </c>
      <c r="L329" s="2" t="s">
        <v>164</v>
      </c>
      <c r="M329" s="3">
        <v>1</v>
      </c>
      <c r="N329" s="3">
        <v>1</v>
      </c>
      <c r="O329" s="9" t="s">
        <v>24</v>
      </c>
      <c r="P329" s="3">
        <v>0</v>
      </c>
    </row>
    <row r="330" spans="1:16" x14ac:dyDescent="0.3">
      <c r="A330" s="2" t="s">
        <v>1243</v>
      </c>
      <c r="B330" s="2" t="s">
        <v>1244</v>
      </c>
      <c r="C330" s="2" t="s">
        <v>18</v>
      </c>
      <c r="D330" s="5">
        <v>41.0889411</v>
      </c>
      <c r="E330" s="5">
        <v>35.349012999999999</v>
      </c>
      <c r="F330" s="2" t="s">
        <v>1245</v>
      </c>
      <c r="G330" s="2" t="s">
        <v>28</v>
      </c>
      <c r="H330" s="2" t="s">
        <v>29</v>
      </c>
      <c r="I330" s="2" t="s">
        <v>30</v>
      </c>
      <c r="J330" s="2" t="s">
        <v>1246</v>
      </c>
      <c r="K330" s="2" t="s">
        <v>22</v>
      </c>
      <c r="L330" s="2" t="s">
        <v>164</v>
      </c>
      <c r="M330" s="3">
        <v>0</v>
      </c>
      <c r="N330" s="3">
        <v>0</v>
      </c>
      <c r="O330" s="9" t="s">
        <v>24</v>
      </c>
      <c r="P330" s="3">
        <v>0</v>
      </c>
    </row>
    <row r="331" spans="1:16" x14ac:dyDescent="0.3">
      <c r="A331" s="2" t="s">
        <v>1247</v>
      </c>
      <c r="B331" s="2" t="s">
        <v>1248</v>
      </c>
      <c r="C331" s="2" t="s">
        <v>18</v>
      </c>
      <c r="D331" s="5">
        <v>41.161915299999997</v>
      </c>
      <c r="E331" s="5">
        <v>36.769602200000001</v>
      </c>
      <c r="F331" s="2" t="s">
        <v>1249</v>
      </c>
      <c r="G331" s="2" t="s">
        <v>28</v>
      </c>
      <c r="H331" s="2" t="s">
        <v>29</v>
      </c>
      <c r="I331" s="2" t="s">
        <v>30</v>
      </c>
      <c r="J331" s="2" t="s">
        <v>1250</v>
      </c>
      <c r="K331" s="2" t="s">
        <v>22</v>
      </c>
      <c r="L331" s="2" t="s">
        <v>44</v>
      </c>
      <c r="M331" s="3">
        <v>1</v>
      </c>
      <c r="N331" s="3">
        <v>1</v>
      </c>
      <c r="O331" s="9" t="s">
        <v>54</v>
      </c>
      <c r="P331" s="3">
        <v>-1221.0899999999999</v>
      </c>
    </row>
    <row r="332" spans="1:16" x14ac:dyDescent="0.3">
      <c r="A332" s="2" t="s">
        <v>1251</v>
      </c>
      <c r="B332" s="2" t="s">
        <v>1252</v>
      </c>
      <c r="C332" s="2" t="s">
        <v>18</v>
      </c>
      <c r="D332" s="5">
        <v>41.220334399999999</v>
      </c>
      <c r="E332" s="5">
        <v>36.4523717</v>
      </c>
      <c r="F332" s="3"/>
      <c r="G332" s="2" t="s">
        <v>259</v>
      </c>
      <c r="H332" s="2" t="s">
        <v>260</v>
      </c>
      <c r="I332" s="2" t="s">
        <v>260</v>
      </c>
      <c r="J332" s="2" t="s">
        <v>1253</v>
      </c>
      <c r="K332" s="2" t="s">
        <v>22</v>
      </c>
      <c r="L332" s="2" t="s">
        <v>39</v>
      </c>
      <c r="M332" s="3">
        <v>1</v>
      </c>
      <c r="N332" s="3">
        <v>1</v>
      </c>
      <c r="O332" s="9" t="s">
        <v>24</v>
      </c>
      <c r="P332" s="3">
        <v>0</v>
      </c>
    </row>
    <row r="333" spans="1:16" x14ac:dyDescent="0.3">
      <c r="A333" s="2" t="s">
        <v>1254</v>
      </c>
      <c r="B333" s="2" t="s">
        <v>1255</v>
      </c>
      <c r="C333" s="2" t="s">
        <v>18</v>
      </c>
      <c r="D333" s="5">
        <v>41.283081799999998</v>
      </c>
      <c r="E333" s="5">
        <v>36.3276635</v>
      </c>
      <c r="F333" s="2" t="s">
        <v>1256</v>
      </c>
      <c r="G333" s="2" t="s">
        <v>28</v>
      </c>
      <c r="H333" s="2" t="s">
        <v>29</v>
      </c>
      <c r="I333" s="2" t="s">
        <v>30</v>
      </c>
      <c r="J333" s="2" t="s">
        <v>1257</v>
      </c>
      <c r="K333" s="2" t="s">
        <v>22</v>
      </c>
      <c r="L333" s="2" t="s">
        <v>32</v>
      </c>
      <c r="M333" s="3">
        <v>1</v>
      </c>
      <c r="N333" s="3">
        <v>1</v>
      </c>
      <c r="O333" s="9" t="s">
        <v>24</v>
      </c>
      <c r="P333" s="3">
        <v>426.08</v>
      </c>
    </row>
    <row r="334" spans="1:16" x14ac:dyDescent="0.3">
      <c r="A334" s="2" t="s">
        <v>1258</v>
      </c>
      <c r="B334" s="2" t="s">
        <v>1259</v>
      </c>
      <c r="C334" s="2" t="s">
        <v>18</v>
      </c>
      <c r="D334" s="5">
        <v>41.571997400000001</v>
      </c>
      <c r="E334" s="5">
        <v>35.908506199999998</v>
      </c>
      <c r="F334" s="3"/>
      <c r="G334" s="2" t="s">
        <v>259</v>
      </c>
      <c r="H334" s="2" t="s">
        <v>260</v>
      </c>
      <c r="I334" s="2" t="s">
        <v>260</v>
      </c>
      <c r="J334" s="2" t="s">
        <v>1260</v>
      </c>
      <c r="K334" s="2" t="s">
        <v>22</v>
      </c>
      <c r="L334" s="2" t="s">
        <v>53</v>
      </c>
      <c r="M334" s="3">
        <v>0</v>
      </c>
      <c r="N334" s="3">
        <v>1</v>
      </c>
      <c r="O334" s="9" t="s">
        <v>24</v>
      </c>
      <c r="P334" s="3">
        <v>0</v>
      </c>
    </row>
    <row r="335" spans="1:16" x14ac:dyDescent="0.3">
      <c r="A335" s="2" t="s">
        <v>1261</v>
      </c>
      <c r="B335" s="2" t="s">
        <v>1262</v>
      </c>
      <c r="C335" s="2" t="s">
        <v>18</v>
      </c>
      <c r="D335" s="5">
        <v>41.322105399999998</v>
      </c>
      <c r="E335" s="5">
        <v>36.330886900000003</v>
      </c>
      <c r="F335" s="2" t="s">
        <v>1263</v>
      </c>
      <c r="G335" s="2" t="s">
        <v>28</v>
      </c>
      <c r="H335" s="2" t="s">
        <v>29</v>
      </c>
      <c r="I335" s="2" t="s">
        <v>30</v>
      </c>
      <c r="J335" s="2" t="s">
        <v>1264</v>
      </c>
      <c r="K335" s="2" t="s">
        <v>22</v>
      </c>
      <c r="L335" s="2" t="s">
        <v>32</v>
      </c>
      <c r="M335" s="3">
        <v>0</v>
      </c>
      <c r="N335" s="3">
        <v>0</v>
      </c>
      <c r="O335" s="9" t="s">
        <v>24</v>
      </c>
      <c r="P335" s="3">
        <v>0</v>
      </c>
    </row>
    <row r="336" spans="1:16" x14ac:dyDescent="0.3">
      <c r="A336" s="2" t="s">
        <v>1265</v>
      </c>
      <c r="B336" s="2" t="s">
        <v>1266</v>
      </c>
      <c r="C336" s="2" t="s">
        <v>18</v>
      </c>
      <c r="D336" s="5">
        <v>41.563420000000001</v>
      </c>
      <c r="E336" s="5">
        <v>35.882289999999998</v>
      </c>
      <c r="F336" s="2" t="s">
        <v>1267</v>
      </c>
      <c r="G336" s="2" t="s">
        <v>221</v>
      </c>
      <c r="H336" s="2" t="s">
        <v>1049</v>
      </c>
      <c r="I336" s="2" t="s">
        <v>1049</v>
      </c>
      <c r="J336" s="2" t="s">
        <v>1268</v>
      </c>
      <c r="K336" s="2" t="s">
        <v>22</v>
      </c>
      <c r="L336" s="2" t="s">
        <v>53</v>
      </c>
      <c r="M336" s="3">
        <v>1</v>
      </c>
      <c r="N336" s="3">
        <v>1</v>
      </c>
      <c r="O336" s="9" t="s">
        <v>24</v>
      </c>
      <c r="P336" s="3">
        <v>0</v>
      </c>
    </row>
    <row r="337" spans="1:16" x14ac:dyDescent="0.3">
      <c r="A337" s="2" t="s">
        <v>1269</v>
      </c>
      <c r="B337" s="2" t="s">
        <v>1270</v>
      </c>
      <c r="C337" s="2" t="s">
        <v>18</v>
      </c>
      <c r="D337" s="5">
        <v>41.364329499999997</v>
      </c>
      <c r="E337" s="5">
        <v>36.230323800000001</v>
      </c>
      <c r="F337" s="2" t="s">
        <v>1271</v>
      </c>
      <c r="G337" s="2" t="s">
        <v>221</v>
      </c>
      <c r="H337" s="2" t="s">
        <v>918</v>
      </c>
      <c r="I337" s="2" t="s">
        <v>918</v>
      </c>
      <c r="J337" s="2" t="s">
        <v>1272</v>
      </c>
      <c r="K337" s="2" t="s">
        <v>22</v>
      </c>
      <c r="L337" s="2" t="s">
        <v>23</v>
      </c>
      <c r="M337" s="3">
        <v>0</v>
      </c>
      <c r="N337" s="3">
        <v>0</v>
      </c>
      <c r="O337" s="9" t="s">
        <v>24</v>
      </c>
      <c r="P337" s="3">
        <v>0</v>
      </c>
    </row>
    <row r="338" spans="1:16" x14ac:dyDescent="0.3">
      <c r="A338" s="2" t="s">
        <v>1273</v>
      </c>
      <c r="B338" s="2" t="s">
        <v>1274</v>
      </c>
      <c r="C338" s="2" t="s">
        <v>18</v>
      </c>
      <c r="D338" s="5">
        <v>41.307031027199997</v>
      </c>
      <c r="E338" s="5">
        <v>36.315517573900003</v>
      </c>
      <c r="F338" s="3"/>
      <c r="G338" s="2" t="s">
        <v>259</v>
      </c>
      <c r="H338" s="2" t="s">
        <v>260</v>
      </c>
      <c r="I338" s="2" t="s">
        <v>260</v>
      </c>
      <c r="J338" s="2" t="s">
        <v>1275</v>
      </c>
      <c r="K338" s="2" t="s">
        <v>22</v>
      </c>
      <c r="L338" s="2" t="s">
        <v>32</v>
      </c>
      <c r="M338" s="3">
        <v>1</v>
      </c>
      <c r="N338" s="3">
        <v>1</v>
      </c>
      <c r="O338" s="9" t="s">
        <v>24</v>
      </c>
      <c r="P338" s="3">
        <v>0</v>
      </c>
    </row>
    <row r="339" spans="1:16" x14ac:dyDescent="0.3">
      <c r="A339" s="2" t="s">
        <v>1276</v>
      </c>
      <c r="B339" s="2" t="s">
        <v>1277</v>
      </c>
      <c r="C339" s="2" t="s">
        <v>18</v>
      </c>
      <c r="D339" s="5">
        <v>41.322252400000004</v>
      </c>
      <c r="E339" s="5">
        <v>36.330889499999998</v>
      </c>
      <c r="F339" s="2" t="s">
        <v>1278</v>
      </c>
      <c r="G339" s="2" t="s">
        <v>221</v>
      </c>
      <c r="H339" s="2" t="s">
        <v>222</v>
      </c>
      <c r="I339" s="2" t="s">
        <v>222</v>
      </c>
      <c r="J339" s="2" t="s">
        <v>1279</v>
      </c>
      <c r="K339" s="2" t="s">
        <v>22</v>
      </c>
      <c r="L339" s="2" t="s">
        <v>32</v>
      </c>
      <c r="M339" s="3">
        <v>1</v>
      </c>
      <c r="N339" s="3">
        <v>1</v>
      </c>
      <c r="O339" s="9" t="s">
        <v>24</v>
      </c>
      <c r="P339" s="3">
        <v>0.26</v>
      </c>
    </row>
    <row r="340" spans="1:16" x14ac:dyDescent="0.3">
      <c r="A340" s="2" t="s">
        <v>1280</v>
      </c>
      <c r="B340" s="2" t="s">
        <v>1281</v>
      </c>
      <c r="C340" s="2" t="s">
        <v>18</v>
      </c>
      <c r="D340" s="5">
        <v>41.337754500000003</v>
      </c>
      <c r="E340" s="5">
        <v>36.2347076</v>
      </c>
      <c r="F340" s="3"/>
      <c r="G340" s="2" t="s">
        <v>259</v>
      </c>
      <c r="H340" s="2" t="s">
        <v>260</v>
      </c>
      <c r="I340" s="2" t="s">
        <v>260</v>
      </c>
      <c r="J340" s="2" t="s">
        <v>1282</v>
      </c>
      <c r="K340" s="2" t="s">
        <v>22</v>
      </c>
      <c r="L340" s="2" t="s">
        <v>23</v>
      </c>
      <c r="M340" s="3">
        <v>1</v>
      </c>
      <c r="N340" s="3">
        <v>1</v>
      </c>
      <c r="O340" s="9" t="s">
        <v>24</v>
      </c>
      <c r="P340" s="3">
        <v>0</v>
      </c>
    </row>
    <row r="341" spans="1:16" x14ac:dyDescent="0.3">
      <c r="A341" s="2" t="s">
        <v>1283</v>
      </c>
      <c r="B341" s="2" t="s">
        <v>1284</v>
      </c>
      <c r="C341" s="2" t="s">
        <v>18</v>
      </c>
      <c r="D341" s="5">
        <v>40.911578300000002</v>
      </c>
      <c r="E341" s="5">
        <v>35.89629</v>
      </c>
      <c r="F341" s="2" t="s">
        <v>1285</v>
      </c>
      <c r="G341" s="2" t="s">
        <v>221</v>
      </c>
      <c r="H341" s="2" t="s">
        <v>1049</v>
      </c>
      <c r="I341" s="2" t="s">
        <v>1049</v>
      </c>
      <c r="J341" s="2" t="s">
        <v>1286</v>
      </c>
      <c r="K341" s="2" t="s">
        <v>22</v>
      </c>
      <c r="L341" s="2" t="s">
        <v>76</v>
      </c>
      <c r="M341" s="3">
        <v>0</v>
      </c>
      <c r="N341" s="3">
        <v>0</v>
      </c>
      <c r="O341" s="9" t="s">
        <v>24</v>
      </c>
      <c r="P341" s="3">
        <v>0</v>
      </c>
    </row>
    <row r="342" spans="1:16" x14ac:dyDescent="0.3">
      <c r="A342" s="2" t="s">
        <v>1287</v>
      </c>
      <c r="B342" s="2" t="s">
        <v>1288</v>
      </c>
      <c r="C342" s="2" t="s">
        <v>18</v>
      </c>
      <c r="D342" s="5">
        <v>41.201050000000002</v>
      </c>
      <c r="E342" s="5">
        <v>36.115699999999997</v>
      </c>
      <c r="F342" s="2" t="s">
        <v>1289</v>
      </c>
      <c r="G342" s="2" t="s">
        <v>221</v>
      </c>
      <c r="H342" s="2" t="s">
        <v>222</v>
      </c>
      <c r="I342" s="2" t="s">
        <v>222</v>
      </c>
      <c r="J342" s="2" t="s">
        <v>1290</v>
      </c>
      <c r="K342" s="2" t="s">
        <v>22</v>
      </c>
      <c r="L342" s="2" t="s">
        <v>224</v>
      </c>
      <c r="M342" s="3">
        <v>0</v>
      </c>
      <c r="N342" s="3">
        <v>0</v>
      </c>
      <c r="O342" s="9" t="s">
        <v>24</v>
      </c>
      <c r="P342" s="3">
        <v>0</v>
      </c>
    </row>
    <row r="343" spans="1:16" x14ac:dyDescent="0.3">
      <c r="A343" s="2" t="s">
        <v>1291</v>
      </c>
      <c r="B343" s="2" t="s">
        <v>1292</v>
      </c>
      <c r="C343" s="2" t="s">
        <v>18</v>
      </c>
      <c r="D343" s="5">
        <v>41.210651400000003</v>
      </c>
      <c r="E343" s="5">
        <v>36.462460100000001</v>
      </c>
      <c r="F343" s="3"/>
      <c r="G343" s="2" t="s">
        <v>259</v>
      </c>
      <c r="H343" s="2" t="s">
        <v>260</v>
      </c>
      <c r="I343" s="2" t="s">
        <v>260</v>
      </c>
      <c r="J343" s="2" t="s">
        <v>1293</v>
      </c>
      <c r="K343" s="2" t="s">
        <v>22</v>
      </c>
      <c r="L343" s="2" t="s">
        <v>39</v>
      </c>
      <c r="M343" s="3">
        <v>1</v>
      </c>
      <c r="N343" s="3">
        <v>1</v>
      </c>
      <c r="O343" s="9" t="s">
        <v>24</v>
      </c>
      <c r="P343" s="3">
        <v>0</v>
      </c>
    </row>
    <row r="344" spans="1:16" x14ac:dyDescent="0.3">
      <c r="A344" s="2" t="s">
        <v>1294</v>
      </c>
      <c r="B344" s="2" t="s">
        <v>1295</v>
      </c>
      <c r="C344" s="2" t="s">
        <v>18</v>
      </c>
      <c r="D344" s="5">
        <v>41.125118700000002</v>
      </c>
      <c r="E344" s="5">
        <v>37.277684000000001</v>
      </c>
      <c r="F344" s="2" t="s">
        <v>456</v>
      </c>
      <c r="G344" s="2" t="s">
        <v>348</v>
      </c>
      <c r="H344" s="2" t="s">
        <v>349</v>
      </c>
      <c r="I344" s="2" t="s">
        <v>37</v>
      </c>
      <c r="J344" s="2" t="s">
        <v>1296</v>
      </c>
      <c r="K344" s="2" t="s">
        <v>63</v>
      </c>
      <c r="L344" s="2" t="s">
        <v>89</v>
      </c>
      <c r="M344" s="3">
        <v>2</v>
      </c>
      <c r="N344" s="3">
        <v>1</v>
      </c>
      <c r="O344" s="9" t="s">
        <v>54</v>
      </c>
      <c r="P344" s="3">
        <v>0</v>
      </c>
    </row>
    <row r="345" spans="1:16" x14ac:dyDescent="0.3">
      <c r="A345" s="2" t="s">
        <v>1297</v>
      </c>
      <c r="B345" s="2" t="s">
        <v>1298</v>
      </c>
      <c r="C345" s="2" t="s">
        <v>18</v>
      </c>
      <c r="D345" s="5">
        <v>41.122720299999997</v>
      </c>
      <c r="E345" s="5">
        <v>37.281150699999998</v>
      </c>
      <c r="F345" s="2" t="s">
        <v>1299</v>
      </c>
      <c r="G345" s="2" t="s">
        <v>348</v>
      </c>
      <c r="H345" s="2" t="s">
        <v>349</v>
      </c>
      <c r="I345" s="2" t="s">
        <v>37</v>
      </c>
      <c r="J345" s="2" t="s">
        <v>1300</v>
      </c>
      <c r="K345" s="2" t="s">
        <v>63</v>
      </c>
      <c r="L345" s="2" t="s">
        <v>89</v>
      </c>
      <c r="M345" s="3">
        <v>1</v>
      </c>
      <c r="N345" s="3">
        <v>1</v>
      </c>
      <c r="O345" s="9" t="s">
        <v>54</v>
      </c>
      <c r="P345" s="3">
        <v>0</v>
      </c>
    </row>
    <row r="346" spans="1:16" x14ac:dyDescent="0.3">
      <c r="A346" s="2" t="s">
        <v>1301</v>
      </c>
      <c r="B346" s="2" t="s">
        <v>1302</v>
      </c>
      <c r="C346" s="2" t="s">
        <v>18</v>
      </c>
      <c r="D346" s="5">
        <v>41.262602000000001</v>
      </c>
      <c r="E346" s="5">
        <v>36.321058399999998</v>
      </c>
      <c r="F346" s="3"/>
      <c r="G346" s="2" t="s">
        <v>259</v>
      </c>
      <c r="H346" s="2" t="s">
        <v>260</v>
      </c>
      <c r="I346" s="2" t="s">
        <v>260</v>
      </c>
      <c r="J346" s="2" t="s">
        <v>1303</v>
      </c>
      <c r="K346" s="2" t="s">
        <v>22</v>
      </c>
      <c r="L346" s="2" t="s">
        <v>32</v>
      </c>
      <c r="M346" s="3">
        <v>0</v>
      </c>
      <c r="N346" s="3">
        <v>1</v>
      </c>
      <c r="O346" s="9" t="s">
        <v>24</v>
      </c>
      <c r="P346" s="3">
        <v>0</v>
      </c>
    </row>
    <row r="347" spans="1:16" x14ac:dyDescent="0.3">
      <c r="A347" s="2" t="s">
        <v>1304</v>
      </c>
      <c r="B347" s="2" t="s">
        <v>1305</v>
      </c>
      <c r="C347" s="2" t="s">
        <v>18</v>
      </c>
      <c r="D347" s="5">
        <v>41.308146635900002</v>
      </c>
      <c r="E347" s="5">
        <v>36.3171802532</v>
      </c>
      <c r="F347" s="3"/>
      <c r="G347" s="2" t="s">
        <v>259</v>
      </c>
      <c r="H347" s="2" t="s">
        <v>260</v>
      </c>
      <c r="I347" s="2" t="s">
        <v>260</v>
      </c>
      <c r="J347" s="2" t="s">
        <v>1306</v>
      </c>
      <c r="K347" s="2" t="s">
        <v>22</v>
      </c>
      <c r="L347" s="2" t="s">
        <v>32</v>
      </c>
      <c r="M347" s="3">
        <v>1</v>
      </c>
      <c r="N347" s="3">
        <v>1</v>
      </c>
      <c r="O347" s="9" t="s">
        <v>24</v>
      </c>
      <c r="P347" s="3">
        <v>0</v>
      </c>
    </row>
    <row r="348" spans="1:16" x14ac:dyDescent="0.3">
      <c r="A348" s="2" t="s">
        <v>1307</v>
      </c>
      <c r="B348" s="2" t="s">
        <v>1308</v>
      </c>
      <c r="C348" s="2" t="s">
        <v>18</v>
      </c>
      <c r="D348" s="5">
        <v>41.284418600000002</v>
      </c>
      <c r="E348" s="5">
        <v>36.303746199999999</v>
      </c>
      <c r="F348" s="2" t="s">
        <v>1309</v>
      </c>
      <c r="G348" s="2" t="s">
        <v>28</v>
      </c>
      <c r="H348" s="2" t="s">
        <v>29</v>
      </c>
      <c r="I348" s="2" t="s">
        <v>30</v>
      </c>
      <c r="J348" s="2" t="s">
        <v>1310</v>
      </c>
      <c r="K348" s="2" t="s">
        <v>22</v>
      </c>
      <c r="L348" s="2" t="s">
        <v>32</v>
      </c>
      <c r="M348" s="3">
        <v>2</v>
      </c>
      <c r="N348" s="3">
        <v>1</v>
      </c>
      <c r="O348" s="9" t="s">
        <v>24</v>
      </c>
      <c r="P348" s="3">
        <v>1565.91</v>
      </c>
    </row>
    <row r="349" spans="1:16" x14ac:dyDescent="0.3">
      <c r="A349" s="2" t="s">
        <v>1311</v>
      </c>
      <c r="B349" s="2" t="s">
        <v>1312</v>
      </c>
      <c r="C349" s="2" t="s">
        <v>18</v>
      </c>
      <c r="D349" s="5">
        <v>41.408585000000002</v>
      </c>
      <c r="E349" s="5">
        <v>36.178032000000002</v>
      </c>
      <c r="F349" s="3"/>
      <c r="G349" s="2" t="s">
        <v>259</v>
      </c>
      <c r="H349" s="2" t="s">
        <v>260</v>
      </c>
      <c r="I349" s="2" t="s">
        <v>260</v>
      </c>
      <c r="J349" s="2" t="s">
        <v>1313</v>
      </c>
      <c r="K349" s="2" t="s">
        <v>22</v>
      </c>
      <c r="L349" s="2" t="s">
        <v>23</v>
      </c>
      <c r="M349" s="3">
        <v>1</v>
      </c>
      <c r="N349" s="3">
        <v>1</v>
      </c>
      <c r="O349" s="9" t="s">
        <v>24</v>
      </c>
      <c r="P349" s="3">
        <v>0</v>
      </c>
    </row>
    <row r="350" spans="1:16" x14ac:dyDescent="0.3">
      <c r="A350" s="2" t="s">
        <v>1314</v>
      </c>
      <c r="B350" s="2" t="s">
        <v>1315</v>
      </c>
      <c r="C350" s="2" t="s">
        <v>18</v>
      </c>
      <c r="D350" s="5">
        <v>41.324500800000003</v>
      </c>
      <c r="E350" s="5">
        <v>36.268354700000003</v>
      </c>
      <c r="F350" s="3"/>
      <c r="G350" s="2" t="s">
        <v>259</v>
      </c>
      <c r="H350" s="2" t="s">
        <v>260</v>
      </c>
      <c r="I350" s="2" t="s">
        <v>260</v>
      </c>
      <c r="J350" s="2" t="s">
        <v>1316</v>
      </c>
      <c r="K350" s="2" t="s">
        <v>22</v>
      </c>
      <c r="L350" s="2" t="s">
        <v>23</v>
      </c>
      <c r="M350" s="3">
        <v>1</v>
      </c>
      <c r="N350" s="3">
        <v>1</v>
      </c>
      <c r="O350" s="9" t="s">
        <v>24</v>
      </c>
      <c r="P350" s="3">
        <v>0</v>
      </c>
    </row>
    <row r="351" spans="1:16" x14ac:dyDescent="0.3">
      <c r="A351" s="2" t="s">
        <v>1317</v>
      </c>
      <c r="B351" s="2" t="s">
        <v>1318</v>
      </c>
      <c r="C351" s="2" t="s">
        <v>18</v>
      </c>
      <c r="D351" s="5">
        <v>41.311549999999997</v>
      </c>
      <c r="E351" s="5">
        <v>36.278183300000002</v>
      </c>
      <c r="F351" s="3"/>
      <c r="G351" s="2" t="s">
        <v>259</v>
      </c>
      <c r="H351" s="2" t="s">
        <v>260</v>
      </c>
      <c r="I351" s="2" t="s">
        <v>260</v>
      </c>
      <c r="J351" s="2" t="s">
        <v>1319</v>
      </c>
      <c r="K351" s="2" t="s">
        <v>22</v>
      </c>
      <c r="L351" s="2" t="s">
        <v>23</v>
      </c>
      <c r="M351" s="3">
        <v>1</v>
      </c>
      <c r="N351" s="3">
        <v>1</v>
      </c>
      <c r="O351" s="9" t="s">
        <v>24</v>
      </c>
      <c r="P351" s="3">
        <v>0</v>
      </c>
    </row>
    <row r="352" spans="1:16" x14ac:dyDescent="0.3">
      <c r="A352" s="2" t="s">
        <v>1320</v>
      </c>
      <c r="B352" s="2" t="s">
        <v>1321</v>
      </c>
      <c r="C352" s="2" t="s">
        <v>18</v>
      </c>
      <c r="D352" s="5">
        <v>41.331636199999998</v>
      </c>
      <c r="E352" s="5">
        <v>36.246425500000001</v>
      </c>
      <c r="F352" s="3"/>
      <c r="G352" s="2" t="s">
        <v>259</v>
      </c>
      <c r="H352" s="2" t="s">
        <v>260</v>
      </c>
      <c r="I352" s="2" t="s">
        <v>260</v>
      </c>
      <c r="J352" s="2" t="s">
        <v>1322</v>
      </c>
      <c r="K352" s="2" t="s">
        <v>22</v>
      </c>
      <c r="L352" s="2" t="s">
        <v>23</v>
      </c>
      <c r="M352" s="3">
        <v>1</v>
      </c>
      <c r="N352" s="3">
        <v>1</v>
      </c>
      <c r="O352" s="9" t="s">
        <v>24</v>
      </c>
      <c r="P352" s="3">
        <v>0</v>
      </c>
    </row>
    <row r="353" spans="1:16" x14ac:dyDescent="0.3">
      <c r="A353" s="2" t="s">
        <v>1323</v>
      </c>
      <c r="B353" s="2" t="s">
        <v>1324</v>
      </c>
      <c r="C353" s="2" t="s">
        <v>18</v>
      </c>
      <c r="D353" s="5">
        <v>41.3258109</v>
      </c>
      <c r="E353" s="5">
        <v>36.2632835</v>
      </c>
      <c r="F353" s="3"/>
      <c r="G353" s="2" t="s">
        <v>259</v>
      </c>
      <c r="H353" s="2" t="s">
        <v>260</v>
      </c>
      <c r="I353" s="2" t="s">
        <v>260</v>
      </c>
      <c r="J353" s="2" t="s">
        <v>1325</v>
      </c>
      <c r="K353" s="2" t="s">
        <v>22</v>
      </c>
      <c r="L353" s="2" t="s">
        <v>23</v>
      </c>
      <c r="M353" s="3">
        <v>1</v>
      </c>
      <c r="N353" s="3">
        <v>1</v>
      </c>
      <c r="O353" s="9" t="s">
        <v>24</v>
      </c>
      <c r="P353" s="3">
        <v>0</v>
      </c>
    </row>
    <row r="354" spans="1:16" x14ac:dyDescent="0.3">
      <c r="A354" s="2" t="s">
        <v>1326</v>
      </c>
      <c r="B354" s="2" t="s">
        <v>1327</v>
      </c>
      <c r="C354" s="2" t="s">
        <v>18</v>
      </c>
      <c r="D354" s="5">
        <v>41.332096378000003</v>
      </c>
      <c r="E354" s="5">
        <v>36.270836410500003</v>
      </c>
      <c r="F354" s="3"/>
      <c r="G354" s="2" t="s">
        <v>259</v>
      </c>
      <c r="H354" s="2" t="s">
        <v>260</v>
      </c>
      <c r="I354" s="2" t="s">
        <v>260</v>
      </c>
      <c r="J354" s="2" t="s">
        <v>1328</v>
      </c>
      <c r="K354" s="2" t="s">
        <v>22</v>
      </c>
      <c r="L354" s="2" t="s">
        <v>23</v>
      </c>
      <c r="M354" s="3">
        <v>1</v>
      </c>
      <c r="N354" s="3">
        <v>1</v>
      </c>
      <c r="O354" s="9" t="s">
        <v>24</v>
      </c>
      <c r="P354" s="3">
        <v>0</v>
      </c>
    </row>
    <row r="355" spans="1:16" x14ac:dyDescent="0.3">
      <c r="A355" s="2" t="s">
        <v>1329</v>
      </c>
      <c r="B355" s="2" t="s">
        <v>1330</v>
      </c>
      <c r="C355" s="2" t="s">
        <v>18</v>
      </c>
      <c r="D355" s="5">
        <v>41.563873000000001</v>
      </c>
      <c r="E355" s="5">
        <v>35.893624500000001</v>
      </c>
      <c r="F355" s="2" t="s">
        <v>1331</v>
      </c>
      <c r="G355" s="2" t="s">
        <v>28</v>
      </c>
      <c r="H355" s="2" t="s">
        <v>29</v>
      </c>
      <c r="I355" s="2" t="s">
        <v>30</v>
      </c>
      <c r="J355" s="2" t="s">
        <v>1332</v>
      </c>
      <c r="K355" s="2" t="s">
        <v>22</v>
      </c>
      <c r="L355" s="2" t="s">
        <v>53</v>
      </c>
      <c r="M355" s="3">
        <v>1</v>
      </c>
      <c r="N355" s="3">
        <v>1</v>
      </c>
      <c r="O355" s="9" t="s">
        <v>24</v>
      </c>
      <c r="P355" s="3">
        <v>-844.38</v>
      </c>
    </row>
    <row r="356" spans="1:16" x14ac:dyDescent="0.3">
      <c r="A356" s="2" t="s">
        <v>1333</v>
      </c>
      <c r="B356" s="2" t="s">
        <v>1334</v>
      </c>
      <c r="C356" s="2" t="s">
        <v>18</v>
      </c>
      <c r="D356" s="5">
        <v>41.287240199999999</v>
      </c>
      <c r="E356" s="5">
        <v>36.312425699999999</v>
      </c>
      <c r="F356" s="2" t="s">
        <v>1335</v>
      </c>
      <c r="G356" s="2" t="s">
        <v>28</v>
      </c>
      <c r="H356" s="2" t="s">
        <v>29</v>
      </c>
      <c r="I356" s="2" t="s">
        <v>30</v>
      </c>
      <c r="J356" s="2" t="s">
        <v>1336</v>
      </c>
      <c r="K356" s="2" t="s">
        <v>22</v>
      </c>
      <c r="L356" s="2" t="s">
        <v>32</v>
      </c>
      <c r="M356" s="3">
        <v>1</v>
      </c>
      <c r="N356" s="3">
        <v>1</v>
      </c>
      <c r="O356" s="9" t="s">
        <v>24</v>
      </c>
      <c r="P356" s="3">
        <v>-7.0000000000000007E-2</v>
      </c>
    </row>
    <row r="357" spans="1:16" x14ac:dyDescent="0.3">
      <c r="A357" s="2" t="s">
        <v>1337</v>
      </c>
      <c r="B357" s="2" t="s">
        <v>1338</v>
      </c>
      <c r="C357" s="2" t="s">
        <v>18</v>
      </c>
      <c r="D357" s="5">
        <v>41.366175599999998</v>
      </c>
      <c r="E357" s="5">
        <v>36.222362699999998</v>
      </c>
      <c r="F357" s="3"/>
      <c r="G357" s="2" t="s">
        <v>259</v>
      </c>
      <c r="H357" s="2" t="s">
        <v>260</v>
      </c>
      <c r="I357" s="2" t="s">
        <v>260</v>
      </c>
      <c r="J357" s="2" t="s">
        <v>1339</v>
      </c>
      <c r="K357" s="2" t="s">
        <v>22</v>
      </c>
      <c r="L357" s="2" t="s">
        <v>23</v>
      </c>
      <c r="M357" s="3">
        <v>1</v>
      </c>
      <c r="N357" s="3">
        <v>1</v>
      </c>
      <c r="O357" s="9" t="s">
        <v>24</v>
      </c>
      <c r="P357" s="3">
        <v>0</v>
      </c>
    </row>
    <row r="358" spans="1:16" x14ac:dyDescent="0.3">
      <c r="A358" s="2" t="s">
        <v>1340</v>
      </c>
      <c r="B358" s="2" t="s">
        <v>1341</v>
      </c>
      <c r="C358" s="2" t="s">
        <v>18</v>
      </c>
      <c r="D358" s="5">
        <v>41.313337865299999</v>
      </c>
      <c r="E358" s="5">
        <v>36.314201625099997</v>
      </c>
      <c r="F358" s="3"/>
      <c r="G358" s="2" t="s">
        <v>259</v>
      </c>
      <c r="H358" s="2" t="s">
        <v>260</v>
      </c>
      <c r="I358" s="2" t="s">
        <v>260</v>
      </c>
      <c r="J358" s="2" t="s">
        <v>1342</v>
      </c>
      <c r="K358" s="2" t="s">
        <v>22</v>
      </c>
      <c r="L358" s="2" t="s">
        <v>32</v>
      </c>
      <c r="M358" s="3">
        <v>1</v>
      </c>
      <c r="N358" s="3">
        <v>1</v>
      </c>
      <c r="O358" s="9" t="s">
        <v>24</v>
      </c>
      <c r="P358" s="3">
        <v>0</v>
      </c>
    </row>
    <row r="359" spans="1:16" x14ac:dyDescent="0.3">
      <c r="A359" s="2" t="s">
        <v>1343</v>
      </c>
      <c r="B359" s="2" t="s">
        <v>1344</v>
      </c>
      <c r="C359" s="2" t="s">
        <v>18</v>
      </c>
      <c r="D359" s="5">
        <v>40.950492599999997</v>
      </c>
      <c r="E359" s="5">
        <v>36.979041000000002</v>
      </c>
      <c r="F359" s="2" t="s">
        <v>1345</v>
      </c>
      <c r="G359" s="2" t="s">
        <v>28</v>
      </c>
      <c r="H359" s="2" t="s">
        <v>29</v>
      </c>
      <c r="I359" s="2" t="s">
        <v>30</v>
      </c>
      <c r="J359" s="2" t="s">
        <v>1346</v>
      </c>
      <c r="K359" s="2" t="s">
        <v>63</v>
      </c>
      <c r="L359" s="2" t="s">
        <v>94</v>
      </c>
      <c r="M359" s="3">
        <v>3</v>
      </c>
      <c r="N359" s="3">
        <v>1</v>
      </c>
      <c r="O359" s="9" t="s">
        <v>24</v>
      </c>
      <c r="P359" s="3">
        <v>-1193.9100000000001</v>
      </c>
    </row>
    <row r="360" spans="1:16" x14ac:dyDescent="0.3">
      <c r="A360" s="2" t="s">
        <v>1347</v>
      </c>
      <c r="B360" s="2" t="s">
        <v>1348</v>
      </c>
      <c r="C360" s="2" t="s">
        <v>18</v>
      </c>
      <c r="D360" s="5">
        <v>41.176462000000001</v>
      </c>
      <c r="E360" s="5">
        <v>36.544035899999997</v>
      </c>
      <c r="F360" s="2" t="s">
        <v>1349</v>
      </c>
      <c r="G360" s="2" t="s">
        <v>28</v>
      </c>
      <c r="H360" s="2" t="s">
        <v>29</v>
      </c>
      <c r="I360" s="2" t="s">
        <v>30</v>
      </c>
      <c r="J360" s="2" t="s">
        <v>1350</v>
      </c>
      <c r="K360" s="2" t="s">
        <v>22</v>
      </c>
      <c r="L360" s="2" t="s">
        <v>39</v>
      </c>
      <c r="M360" s="3">
        <v>1</v>
      </c>
      <c r="N360" s="3">
        <v>1</v>
      </c>
      <c r="O360" s="9" t="s">
        <v>54</v>
      </c>
      <c r="P360" s="3">
        <v>0</v>
      </c>
    </row>
    <row r="361" spans="1:16" x14ac:dyDescent="0.3">
      <c r="A361" s="2" t="s">
        <v>1351</v>
      </c>
      <c r="B361" s="2" t="s">
        <v>1352</v>
      </c>
      <c r="C361" s="2" t="s">
        <v>18</v>
      </c>
      <c r="D361" s="5">
        <v>41.320208997400002</v>
      </c>
      <c r="E361" s="5">
        <v>36.302823011500003</v>
      </c>
      <c r="F361" s="2" t="s">
        <v>1353</v>
      </c>
      <c r="G361" s="2" t="s">
        <v>28</v>
      </c>
      <c r="H361" s="2" t="s">
        <v>29</v>
      </c>
      <c r="I361" s="2" t="s">
        <v>30</v>
      </c>
      <c r="J361" s="2" t="s">
        <v>1354</v>
      </c>
      <c r="K361" s="2" t="s">
        <v>22</v>
      </c>
      <c r="L361" s="2" t="s">
        <v>23</v>
      </c>
      <c r="M361" s="3">
        <v>1</v>
      </c>
      <c r="N361" s="3">
        <v>1</v>
      </c>
      <c r="O361" s="9" t="s">
        <v>24</v>
      </c>
      <c r="P361" s="3">
        <v>-0.64</v>
      </c>
    </row>
    <row r="362" spans="1:16" x14ac:dyDescent="0.3">
      <c r="A362" s="2" t="s">
        <v>1355</v>
      </c>
      <c r="B362" s="2" t="s">
        <v>1356</v>
      </c>
      <c r="C362" s="2" t="s">
        <v>18</v>
      </c>
      <c r="D362" s="5">
        <v>41.280201699999999</v>
      </c>
      <c r="E362" s="5">
        <v>36.305888299999999</v>
      </c>
      <c r="F362" s="2" t="s">
        <v>1357</v>
      </c>
      <c r="G362" s="2" t="s">
        <v>28</v>
      </c>
      <c r="H362" s="2" t="s">
        <v>36</v>
      </c>
      <c r="I362" s="2" t="s">
        <v>30</v>
      </c>
      <c r="J362" s="2" t="s">
        <v>1358</v>
      </c>
      <c r="K362" s="2" t="s">
        <v>22</v>
      </c>
      <c r="L362" s="2" t="s">
        <v>32</v>
      </c>
      <c r="M362" s="3">
        <v>3</v>
      </c>
      <c r="N362" s="3">
        <v>1</v>
      </c>
      <c r="O362" s="9" t="s">
        <v>24</v>
      </c>
      <c r="P362" s="3">
        <v>-0.01</v>
      </c>
    </row>
    <row r="363" spans="1:16" x14ac:dyDescent="0.3">
      <c r="A363" s="2" t="s">
        <v>1359</v>
      </c>
      <c r="B363" s="2" t="s">
        <v>1360</v>
      </c>
      <c r="C363" s="2" t="s">
        <v>18</v>
      </c>
      <c r="D363" s="5">
        <v>41.565170000000002</v>
      </c>
      <c r="E363" s="5">
        <v>35.916229999999999</v>
      </c>
      <c r="F363" s="2" t="s">
        <v>1361</v>
      </c>
      <c r="G363" s="2" t="s">
        <v>28</v>
      </c>
      <c r="H363" s="2" t="s">
        <v>29</v>
      </c>
      <c r="I363" s="2" t="s">
        <v>30</v>
      </c>
      <c r="J363" s="2" t="s">
        <v>1362</v>
      </c>
      <c r="K363" s="2" t="s">
        <v>22</v>
      </c>
      <c r="L363" s="2" t="s">
        <v>53</v>
      </c>
      <c r="M363" s="3">
        <v>1</v>
      </c>
      <c r="N363" s="3">
        <v>1</v>
      </c>
      <c r="O363" s="9" t="s">
        <v>24</v>
      </c>
      <c r="P363" s="3">
        <v>-938.97</v>
      </c>
    </row>
    <row r="364" spans="1:16" x14ac:dyDescent="0.3">
      <c r="A364" s="2" t="s">
        <v>1363</v>
      </c>
      <c r="B364" s="2" t="s">
        <v>1364</v>
      </c>
      <c r="C364" s="2" t="s">
        <v>18</v>
      </c>
      <c r="D364" s="5">
        <v>41.633984402505</v>
      </c>
      <c r="E364" s="5">
        <v>35.608899593353001</v>
      </c>
      <c r="F364" s="2" t="s">
        <v>1365</v>
      </c>
      <c r="G364" s="2" t="s">
        <v>221</v>
      </c>
      <c r="H364" s="2" t="s">
        <v>222</v>
      </c>
      <c r="I364" s="2" t="s">
        <v>222</v>
      </c>
      <c r="J364" s="2" t="s">
        <v>1366</v>
      </c>
      <c r="K364" s="2" t="s">
        <v>22</v>
      </c>
      <c r="L364" s="2" t="s">
        <v>265</v>
      </c>
      <c r="M364" s="3">
        <v>1</v>
      </c>
      <c r="N364" s="3">
        <v>1</v>
      </c>
      <c r="O364" s="9" t="s">
        <v>54</v>
      </c>
      <c r="P364" s="3">
        <v>450.07</v>
      </c>
    </row>
    <row r="365" spans="1:16" x14ac:dyDescent="0.3">
      <c r="A365" s="2" t="s">
        <v>1367</v>
      </c>
      <c r="B365" s="2" t="s">
        <v>1368</v>
      </c>
      <c r="C365" s="2" t="s">
        <v>18</v>
      </c>
      <c r="D365" s="5">
        <v>41.2187579</v>
      </c>
      <c r="E365" s="5">
        <v>36.460962199999997</v>
      </c>
      <c r="F365" s="2" t="s">
        <v>54</v>
      </c>
      <c r="G365" s="2" t="s">
        <v>20</v>
      </c>
      <c r="H365" s="2" t="s">
        <v>20</v>
      </c>
      <c r="I365" s="2" t="s">
        <v>1369</v>
      </c>
      <c r="J365" s="2" t="s">
        <v>1370</v>
      </c>
      <c r="K365" s="2" t="s">
        <v>22</v>
      </c>
      <c r="L365" s="2" t="s">
        <v>39</v>
      </c>
      <c r="M365" s="3">
        <v>1</v>
      </c>
      <c r="N365" s="3">
        <v>1</v>
      </c>
      <c r="O365" s="9" t="s">
        <v>54</v>
      </c>
      <c r="P365" s="3">
        <v>0</v>
      </c>
    </row>
    <row r="366" spans="1:16" x14ac:dyDescent="0.3">
      <c r="A366" s="2" t="s">
        <v>1371</v>
      </c>
      <c r="B366" s="2" t="s">
        <v>1372</v>
      </c>
      <c r="C366" s="2" t="s">
        <v>18</v>
      </c>
      <c r="D366" s="5">
        <v>41.067042999999998</v>
      </c>
      <c r="E366" s="5">
        <v>35.395040000000002</v>
      </c>
      <c r="F366" s="2" t="s">
        <v>1373</v>
      </c>
      <c r="G366" s="2" t="s">
        <v>28</v>
      </c>
      <c r="H366" s="2" t="s">
        <v>29</v>
      </c>
      <c r="I366" s="2" t="s">
        <v>30</v>
      </c>
      <c r="J366" s="2" t="s">
        <v>1374</v>
      </c>
      <c r="K366" s="2" t="s">
        <v>22</v>
      </c>
      <c r="L366" s="2" t="s">
        <v>164</v>
      </c>
      <c r="M366" s="3">
        <v>0</v>
      </c>
      <c r="N366" s="3">
        <v>0</v>
      </c>
      <c r="O366" s="9" t="s">
        <v>24</v>
      </c>
      <c r="P366" s="3">
        <v>0</v>
      </c>
    </row>
    <row r="367" spans="1:16" x14ac:dyDescent="0.3">
      <c r="A367" s="2" t="s">
        <v>1375</v>
      </c>
      <c r="B367" s="2" t="s">
        <v>1376</v>
      </c>
      <c r="C367" s="2" t="s">
        <v>18</v>
      </c>
      <c r="D367" s="5">
        <v>41.082259999999998</v>
      </c>
      <c r="E367" s="5">
        <v>36.825130000000001</v>
      </c>
      <c r="F367" s="2" t="s">
        <v>54</v>
      </c>
      <c r="G367" s="2" t="s">
        <v>20</v>
      </c>
      <c r="H367" s="2" t="s">
        <v>20</v>
      </c>
      <c r="I367" s="2" t="s">
        <v>1369</v>
      </c>
      <c r="J367" s="2" t="s">
        <v>1377</v>
      </c>
      <c r="K367" s="2" t="s">
        <v>22</v>
      </c>
      <c r="L367" s="2" t="s">
        <v>476</v>
      </c>
      <c r="M367" s="3">
        <v>1</v>
      </c>
      <c r="N367" s="3">
        <v>1</v>
      </c>
      <c r="O367" s="9" t="s">
        <v>24</v>
      </c>
      <c r="P367" s="3">
        <v>0</v>
      </c>
    </row>
    <row r="368" spans="1:16" x14ac:dyDescent="0.3">
      <c r="A368" s="2" t="s">
        <v>1378</v>
      </c>
      <c r="B368" s="2" t="s">
        <v>1379</v>
      </c>
      <c r="C368" s="2" t="s">
        <v>18</v>
      </c>
      <c r="D368" s="5">
        <v>41.219775200000001</v>
      </c>
      <c r="E368" s="5">
        <v>36.880815900000002</v>
      </c>
      <c r="F368" s="2" t="s">
        <v>1380</v>
      </c>
      <c r="G368" s="2" t="s">
        <v>28</v>
      </c>
      <c r="H368" s="2" t="s">
        <v>29</v>
      </c>
      <c r="I368" s="2" t="s">
        <v>30</v>
      </c>
      <c r="J368" s="2" t="s">
        <v>1381</v>
      </c>
      <c r="K368" s="2" t="s">
        <v>22</v>
      </c>
      <c r="L368" s="2" t="s">
        <v>328</v>
      </c>
      <c r="M368" s="3">
        <v>2</v>
      </c>
      <c r="N368" s="3">
        <v>1</v>
      </c>
      <c r="O368" s="9" t="s">
        <v>24</v>
      </c>
      <c r="P368" s="3">
        <v>0</v>
      </c>
    </row>
    <row r="369" spans="1:16" x14ac:dyDescent="0.3">
      <c r="A369" s="2" t="s">
        <v>1382</v>
      </c>
      <c r="B369" s="2" t="s">
        <v>1383</v>
      </c>
      <c r="C369" s="2" t="s">
        <v>18</v>
      </c>
      <c r="D369" s="5">
        <v>41.190038199999996</v>
      </c>
      <c r="E369" s="5">
        <v>36.504084499999998</v>
      </c>
      <c r="F369" s="2" t="s">
        <v>1384</v>
      </c>
      <c r="G369" s="2" t="s">
        <v>221</v>
      </c>
      <c r="H369" s="2" t="s">
        <v>222</v>
      </c>
      <c r="I369" s="2" t="s">
        <v>222</v>
      </c>
      <c r="J369" s="2" t="s">
        <v>1385</v>
      </c>
      <c r="K369" s="2" t="s">
        <v>22</v>
      </c>
      <c r="L369" s="2" t="s">
        <v>39</v>
      </c>
      <c r="M369" s="3">
        <v>0</v>
      </c>
      <c r="N369" s="3">
        <v>0</v>
      </c>
      <c r="O369" s="9" t="s">
        <v>54</v>
      </c>
      <c r="P369" s="3">
        <v>0</v>
      </c>
    </row>
    <row r="370" spans="1:16" x14ac:dyDescent="0.3">
      <c r="A370" s="2" t="s">
        <v>1386</v>
      </c>
      <c r="B370" s="2" t="s">
        <v>1387</v>
      </c>
      <c r="C370" s="2" t="s">
        <v>18</v>
      </c>
      <c r="D370" s="5">
        <v>41.1251544</v>
      </c>
      <c r="E370" s="5">
        <v>37.289932899999997</v>
      </c>
      <c r="F370" s="2" t="s">
        <v>1388</v>
      </c>
      <c r="G370" s="2" t="s">
        <v>221</v>
      </c>
      <c r="H370" s="2" t="s">
        <v>1049</v>
      </c>
      <c r="I370" s="2" t="s">
        <v>1049</v>
      </c>
      <c r="J370" s="2" t="s">
        <v>1389</v>
      </c>
      <c r="K370" s="2" t="s">
        <v>63</v>
      </c>
      <c r="L370" s="2" t="s">
        <v>89</v>
      </c>
      <c r="M370" s="3">
        <v>0</v>
      </c>
      <c r="N370" s="3">
        <v>1</v>
      </c>
      <c r="O370" s="9" t="s">
        <v>24</v>
      </c>
      <c r="P370" s="3">
        <v>-2074.14</v>
      </c>
    </row>
    <row r="371" spans="1:16" x14ac:dyDescent="0.3">
      <c r="A371" s="2" t="s">
        <v>1390</v>
      </c>
      <c r="B371" s="2" t="s">
        <v>1391</v>
      </c>
      <c r="C371" s="2" t="s">
        <v>18</v>
      </c>
      <c r="D371" s="5">
        <v>41.636570200000001</v>
      </c>
      <c r="E371" s="5">
        <v>35.504008599999999</v>
      </c>
      <c r="F371" s="2" t="s">
        <v>1392</v>
      </c>
      <c r="G371" s="2" t="s">
        <v>221</v>
      </c>
      <c r="H371" s="2" t="s">
        <v>1049</v>
      </c>
      <c r="I371" s="2" t="s">
        <v>1049</v>
      </c>
      <c r="J371" s="2" t="s">
        <v>1393</v>
      </c>
      <c r="K371" s="2" t="s">
        <v>22</v>
      </c>
      <c r="L371" s="2" t="s">
        <v>665</v>
      </c>
      <c r="M371" s="3">
        <v>1</v>
      </c>
      <c r="N371" s="3">
        <v>1</v>
      </c>
      <c r="O371" s="9" t="s">
        <v>24</v>
      </c>
      <c r="P371" s="3">
        <v>0</v>
      </c>
    </row>
    <row r="372" spans="1:16" x14ac:dyDescent="0.3">
      <c r="A372" s="2" t="s">
        <v>1394</v>
      </c>
      <c r="B372" s="2" t="s">
        <v>1395</v>
      </c>
      <c r="C372" s="2" t="s">
        <v>18</v>
      </c>
      <c r="D372" s="5">
        <v>41.526112400000002</v>
      </c>
      <c r="E372" s="5">
        <v>35.970241199999997</v>
      </c>
      <c r="F372" s="2" t="s">
        <v>1396</v>
      </c>
      <c r="G372" s="2" t="s">
        <v>221</v>
      </c>
      <c r="H372" s="2" t="s">
        <v>1049</v>
      </c>
      <c r="I372" s="2" t="s">
        <v>1049</v>
      </c>
      <c r="J372" s="2" t="s">
        <v>1397</v>
      </c>
      <c r="K372" s="2" t="s">
        <v>22</v>
      </c>
      <c r="L372" s="2" t="s">
        <v>53</v>
      </c>
      <c r="M372" s="3">
        <v>2</v>
      </c>
      <c r="N372" s="3">
        <v>1</v>
      </c>
      <c r="O372" s="9" t="s">
        <v>24</v>
      </c>
      <c r="P372" s="3">
        <v>-0.02</v>
      </c>
    </row>
    <row r="373" spans="1:16" x14ac:dyDescent="0.3">
      <c r="A373" s="2" t="s">
        <v>1398</v>
      </c>
      <c r="B373" s="2" t="s">
        <v>1399</v>
      </c>
      <c r="C373" s="2" t="s">
        <v>18</v>
      </c>
      <c r="D373" s="5">
        <v>41.491785700000001</v>
      </c>
      <c r="E373" s="5">
        <v>36.096242799999999</v>
      </c>
      <c r="F373" s="2" t="s">
        <v>1400</v>
      </c>
      <c r="G373" s="2" t="s">
        <v>28</v>
      </c>
      <c r="H373" s="2" t="s">
        <v>29</v>
      </c>
      <c r="I373" s="2" t="s">
        <v>30</v>
      </c>
      <c r="J373" s="2" t="s">
        <v>1401</v>
      </c>
      <c r="K373" s="2" t="s">
        <v>22</v>
      </c>
      <c r="L373" s="2" t="s">
        <v>394</v>
      </c>
      <c r="M373" s="3">
        <v>2</v>
      </c>
      <c r="N373" s="3">
        <v>1</v>
      </c>
      <c r="O373" s="9" t="s">
        <v>24</v>
      </c>
      <c r="P373" s="3">
        <v>-1.51</v>
      </c>
    </row>
    <row r="374" spans="1:16" x14ac:dyDescent="0.3">
      <c r="A374" s="2" t="s">
        <v>1402</v>
      </c>
      <c r="B374" s="2" t="s">
        <v>1403</v>
      </c>
      <c r="C374" s="2" t="s">
        <v>18</v>
      </c>
      <c r="D374" s="5">
        <v>41.563468399999998</v>
      </c>
      <c r="E374" s="5">
        <v>35.882732900000001</v>
      </c>
      <c r="F374" s="2" t="s">
        <v>1404</v>
      </c>
      <c r="G374" s="2" t="s">
        <v>221</v>
      </c>
      <c r="H374" s="2" t="s">
        <v>1049</v>
      </c>
      <c r="I374" s="2" t="s">
        <v>1049</v>
      </c>
      <c r="J374" s="2" t="s">
        <v>1405</v>
      </c>
      <c r="K374" s="2" t="s">
        <v>22</v>
      </c>
      <c r="L374" s="2" t="s">
        <v>53</v>
      </c>
      <c r="M374" s="3">
        <v>1</v>
      </c>
      <c r="N374" s="3">
        <v>1</v>
      </c>
      <c r="O374" s="9" t="s">
        <v>24</v>
      </c>
      <c r="P374" s="3">
        <v>0</v>
      </c>
    </row>
    <row r="375" spans="1:16" x14ac:dyDescent="0.3">
      <c r="A375" s="2" t="s">
        <v>1406</v>
      </c>
      <c r="B375" s="2" t="s">
        <v>1407</v>
      </c>
      <c r="C375" s="2" t="s">
        <v>18</v>
      </c>
      <c r="D375" s="5">
        <v>41.552920100000001</v>
      </c>
      <c r="E375" s="5">
        <v>35.910821499999997</v>
      </c>
      <c r="F375" s="2" t="s">
        <v>1408</v>
      </c>
      <c r="G375" s="2" t="s">
        <v>28</v>
      </c>
      <c r="H375" s="2" t="s">
        <v>29</v>
      </c>
      <c r="I375" s="2" t="s">
        <v>30</v>
      </c>
      <c r="J375" s="2" t="s">
        <v>1409</v>
      </c>
      <c r="K375" s="2" t="s">
        <v>22</v>
      </c>
      <c r="L375" s="2" t="s">
        <v>53</v>
      </c>
      <c r="M375" s="3">
        <v>0</v>
      </c>
      <c r="N375" s="3">
        <v>0</v>
      </c>
      <c r="O375" s="9" t="s">
        <v>24</v>
      </c>
      <c r="P375" s="3">
        <v>0</v>
      </c>
    </row>
    <row r="376" spans="1:16" x14ac:dyDescent="0.3">
      <c r="A376" s="2" t="s">
        <v>1410</v>
      </c>
      <c r="B376" s="2" t="s">
        <v>1411</v>
      </c>
      <c r="C376" s="2" t="s">
        <v>18</v>
      </c>
      <c r="D376" s="5">
        <v>41.335047500000002</v>
      </c>
      <c r="E376" s="5">
        <v>36.255791700000003</v>
      </c>
      <c r="F376" s="2" t="s">
        <v>54</v>
      </c>
      <c r="G376" s="2" t="s">
        <v>259</v>
      </c>
      <c r="H376" s="2" t="s">
        <v>260</v>
      </c>
      <c r="I376" s="2" t="s">
        <v>260</v>
      </c>
      <c r="J376" s="2" t="s">
        <v>1412</v>
      </c>
      <c r="K376" s="2" t="s">
        <v>22</v>
      </c>
      <c r="L376" s="2" t="s">
        <v>23</v>
      </c>
      <c r="M376" s="3">
        <v>1</v>
      </c>
      <c r="N376" s="3">
        <v>1</v>
      </c>
      <c r="O376" s="9" t="s">
        <v>24</v>
      </c>
      <c r="P376" s="3">
        <v>0</v>
      </c>
    </row>
    <row r="377" spans="1:16" x14ac:dyDescent="0.3">
      <c r="A377" s="2" t="s">
        <v>1413</v>
      </c>
      <c r="B377" s="2" t="s">
        <v>1414</v>
      </c>
      <c r="C377" s="2" t="s">
        <v>18</v>
      </c>
      <c r="D377" s="5">
        <v>41.2666507</v>
      </c>
      <c r="E377" s="5">
        <v>36.365961400000003</v>
      </c>
      <c r="F377" s="2" t="s">
        <v>54</v>
      </c>
      <c r="G377" s="2" t="s">
        <v>259</v>
      </c>
      <c r="H377" s="2" t="s">
        <v>260</v>
      </c>
      <c r="I377" s="2" t="s">
        <v>260</v>
      </c>
      <c r="J377" s="2" t="s">
        <v>1415</v>
      </c>
      <c r="K377" s="2" t="s">
        <v>22</v>
      </c>
      <c r="L377" s="2" t="s">
        <v>99</v>
      </c>
      <c r="M377" s="3">
        <v>1</v>
      </c>
      <c r="N377" s="3">
        <v>1</v>
      </c>
      <c r="O377" s="9" t="s">
        <v>24</v>
      </c>
      <c r="P377" s="3">
        <v>0</v>
      </c>
    </row>
    <row r="378" spans="1:16" x14ac:dyDescent="0.3">
      <c r="A378" s="2" t="s">
        <v>1416</v>
      </c>
      <c r="B378" s="2" t="s">
        <v>1417</v>
      </c>
      <c r="C378" s="2" t="s">
        <v>18</v>
      </c>
      <c r="D378" s="5">
        <v>42.028168899999997</v>
      </c>
      <c r="E378" s="5">
        <v>35.152183800000003</v>
      </c>
      <c r="F378" s="2" t="s">
        <v>54</v>
      </c>
      <c r="G378" s="2" t="s">
        <v>259</v>
      </c>
      <c r="H378" s="2" t="s">
        <v>260</v>
      </c>
      <c r="I378" s="2" t="s">
        <v>260</v>
      </c>
      <c r="J378" s="2" t="s">
        <v>1418</v>
      </c>
      <c r="K378" s="2" t="s">
        <v>154</v>
      </c>
      <c r="L378" s="2" t="s">
        <v>155</v>
      </c>
      <c r="M378" s="3">
        <v>1</v>
      </c>
      <c r="N378" s="3">
        <v>1</v>
      </c>
      <c r="O378" s="9" t="s">
        <v>24</v>
      </c>
      <c r="P378" s="3">
        <v>0</v>
      </c>
    </row>
    <row r="379" spans="1:16" x14ac:dyDescent="0.3">
      <c r="A379" s="2" t="s">
        <v>1419</v>
      </c>
      <c r="B379" s="2" t="s">
        <v>1420</v>
      </c>
      <c r="C379" s="2" t="s">
        <v>18</v>
      </c>
      <c r="D379" s="5">
        <v>41.568566500000003</v>
      </c>
      <c r="E379" s="5">
        <v>35.921371299999997</v>
      </c>
      <c r="F379" s="2" t="s">
        <v>54</v>
      </c>
      <c r="G379" s="2" t="s">
        <v>259</v>
      </c>
      <c r="H379" s="2" t="s">
        <v>260</v>
      </c>
      <c r="I379" s="2" t="s">
        <v>260</v>
      </c>
      <c r="J379" s="2" t="s">
        <v>1421</v>
      </c>
      <c r="K379" s="2" t="s">
        <v>22</v>
      </c>
      <c r="L379" s="2" t="s">
        <v>53</v>
      </c>
      <c r="M379" s="3">
        <v>1</v>
      </c>
      <c r="N379" s="3">
        <v>1</v>
      </c>
      <c r="O379" s="9" t="s">
        <v>24</v>
      </c>
      <c r="P379" s="3">
        <v>0</v>
      </c>
    </row>
    <row r="380" spans="1:16" x14ac:dyDescent="0.3">
      <c r="A380" s="2" t="s">
        <v>1422</v>
      </c>
      <c r="B380" s="2" t="s">
        <v>1423</v>
      </c>
      <c r="C380" s="2" t="s">
        <v>18</v>
      </c>
      <c r="D380" s="5">
        <v>41.1441625</v>
      </c>
      <c r="E380" s="5">
        <v>37.243012200000003</v>
      </c>
      <c r="F380" s="2" t="s">
        <v>54</v>
      </c>
      <c r="G380" s="2" t="s">
        <v>259</v>
      </c>
      <c r="H380" s="2" t="s">
        <v>260</v>
      </c>
      <c r="I380" s="2" t="s">
        <v>260</v>
      </c>
      <c r="J380" s="2" t="s">
        <v>1424</v>
      </c>
      <c r="K380" s="2" t="s">
        <v>63</v>
      </c>
      <c r="L380" s="2" t="s">
        <v>89</v>
      </c>
      <c r="M380" s="3">
        <v>1</v>
      </c>
      <c r="N380" s="3">
        <v>1</v>
      </c>
      <c r="O380" s="9" t="s">
        <v>24</v>
      </c>
      <c r="P380" s="3">
        <v>0</v>
      </c>
    </row>
    <row r="381" spans="1:16" x14ac:dyDescent="0.3">
      <c r="A381" s="2" t="s">
        <v>1425</v>
      </c>
      <c r="B381" s="2" t="s">
        <v>1426</v>
      </c>
      <c r="C381" s="2" t="s">
        <v>18</v>
      </c>
      <c r="D381" s="5">
        <v>41.335687326200002</v>
      </c>
      <c r="E381" s="5">
        <v>36.272695522600003</v>
      </c>
      <c r="F381" s="2" t="s">
        <v>54</v>
      </c>
      <c r="G381" s="2" t="s">
        <v>19</v>
      </c>
      <c r="H381" s="2" t="s">
        <v>20</v>
      </c>
      <c r="I381" s="2" t="s">
        <v>19</v>
      </c>
      <c r="J381" s="2" t="s">
        <v>1427</v>
      </c>
      <c r="K381" s="2" t="s">
        <v>22</v>
      </c>
      <c r="L381" s="2" t="s">
        <v>23</v>
      </c>
      <c r="M381" s="3">
        <v>1</v>
      </c>
      <c r="N381" s="3">
        <v>1</v>
      </c>
      <c r="O381" s="9" t="s">
        <v>24</v>
      </c>
      <c r="P381" s="3">
        <v>0</v>
      </c>
    </row>
    <row r="382" spans="1:16" x14ac:dyDescent="0.3">
      <c r="A382" s="2" t="s">
        <v>1428</v>
      </c>
      <c r="B382" s="2" t="s">
        <v>1429</v>
      </c>
      <c r="C382" s="2" t="s">
        <v>18</v>
      </c>
      <c r="D382" s="5">
        <v>41.2935193</v>
      </c>
      <c r="E382" s="5">
        <v>36.317368299999998</v>
      </c>
      <c r="F382" s="2" t="s">
        <v>1430</v>
      </c>
      <c r="G382" s="2" t="s">
        <v>28</v>
      </c>
      <c r="H382" s="2" t="s">
        <v>36</v>
      </c>
      <c r="I382" s="2" t="s">
        <v>37</v>
      </c>
      <c r="J382" s="2" t="s">
        <v>1431</v>
      </c>
      <c r="K382" s="2" t="s">
        <v>22</v>
      </c>
      <c r="L382" s="2" t="s">
        <v>32</v>
      </c>
      <c r="M382" s="3">
        <v>2</v>
      </c>
      <c r="N382" s="3">
        <v>1</v>
      </c>
      <c r="O382" s="9" t="s">
        <v>24</v>
      </c>
      <c r="P382" s="3">
        <v>-262.86</v>
      </c>
    </row>
    <row r="383" spans="1:16" x14ac:dyDescent="0.3">
      <c r="A383" s="2" t="s">
        <v>1432</v>
      </c>
      <c r="B383" s="2" t="s">
        <v>1433</v>
      </c>
      <c r="C383" s="2" t="s">
        <v>18</v>
      </c>
      <c r="D383" s="5">
        <v>41.291904799999998</v>
      </c>
      <c r="E383" s="5">
        <v>36.326353699999999</v>
      </c>
      <c r="F383" s="2" t="s">
        <v>1434</v>
      </c>
      <c r="G383" s="2" t="s">
        <v>28</v>
      </c>
      <c r="H383" s="2" t="s">
        <v>36</v>
      </c>
      <c r="I383" s="2" t="s">
        <v>37</v>
      </c>
      <c r="J383" s="2" t="s">
        <v>1435</v>
      </c>
      <c r="K383" s="2" t="s">
        <v>22</v>
      </c>
      <c r="L383" s="2" t="s">
        <v>32</v>
      </c>
      <c r="M383" s="3">
        <v>1</v>
      </c>
      <c r="N383" s="3">
        <v>1</v>
      </c>
      <c r="O383" s="9" t="s">
        <v>24</v>
      </c>
      <c r="P383" s="3">
        <v>-0.36</v>
      </c>
    </row>
    <row r="384" spans="1:16" x14ac:dyDescent="0.3">
      <c r="A384" s="2" t="s">
        <v>1436</v>
      </c>
      <c r="B384" s="2" t="s">
        <v>1437</v>
      </c>
      <c r="C384" s="2" t="s">
        <v>18</v>
      </c>
      <c r="D384" s="5">
        <v>42.026587999999997</v>
      </c>
      <c r="E384" s="5">
        <v>35.152267000000002</v>
      </c>
      <c r="F384" s="2" t="s">
        <v>1438</v>
      </c>
      <c r="G384" s="2" t="s">
        <v>28</v>
      </c>
      <c r="H384" s="2" t="s">
        <v>36</v>
      </c>
      <c r="I384" s="2" t="s">
        <v>37</v>
      </c>
      <c r="J384" s="2" t="s">
        <v>1439</v>
      </c>
      <c r="K384" s="2" t="s">
        <v>154</v>
      </c>
      <c r="L384" s="2" t="s">
        <v>155</v>
      </c>
      <c r="M384" s="3">
        <v>1</v>
      </c>
      <c r="N384" s="3">
        <v>1</v>
      </c>
      <c r="O384" s="9" t="s">
        <v>24</v>
      </c>
      <c r="P384" s="3">
        <v>-370.51</v>
      </c>
    </row>
    <row r="385" spans="1:16" x14ac:dyDescent="0.3">
      <c r="A385" s="2" t="s">
        <v>1440</v>
      </c>
      <c r="B385" s="2" t="s">
        <v>1441</v>
      </c>
      <c r="C385" s="2" t="s">
        <v>18</v>
      </c>
      <c r="D385" s="5">
        <v>42.020637200000003</v>
      </c>
      <c r="E385" s="5">
        <v>35.130976500000003</v>
      </c>
      <c r="F385" s="2" t="s">
        <v>1438</v>
      </c>
      <c r="G385" s="2" t="s">
        <v>28</v>
      </c>
      <c r="H385" s="2" t="s">
        <v>36</v>
      </c>
      <c r="I385" s="2" t="s">
        <v>37</v>
      </c>
      <c r="J385" s="2" t="s">
        <v>1439</v>
      </c>
      <c r="K385" s="2" t="s">
        <v>154</v>
      </c>
      <c r="L385" s="2" t="s">
        <v>155</v>
      </c>
      <c r="M385" s="3">
        <v>4</v>
      </c>
      <c r="N385" s="3">
        <v>1</v>
      </c>
      <c r="O385" s="9" t="s">
        <v>24</v>
      </c>
      <c r="P385" s="3">
        <v>-1177.3900000000001</v>
      </c>
    </row>
    <row r="386" spans="1:16" x14ac:dyDescent="0.3">
      <c r="A386" s="2" t="s">
        <v>1442</v>
      </c>
      <c r="B386" s="2" t="s">
        <v>1443</v>
      </c>
      <c r="C386" s="2" t="s">
        <v>18</v>
      </c>
      <c r="D386" s="5">
        <v>41.255575</v>
      </c>
      <c r="E386" s="5">
        <v>36.3530704</v>
      </c>
      <c r="F386" s="2" t="s">
        <v>1444</v>
      </c>
      <c r="G386" s="2" t="s">
        <v>28</v>
      </c>
      <c r="H386" s="2" t="s">
        <v>36</v>
      </c>
      <c r="I386" s="2" t="s">
        <v>37</v>
      </c>
      <c r="J386" s="2" t="s">
        <v>1445</v>
      </c>
      <c r="K386" s="2" t="s">
        <v>22</v>
      </c>
      <c r="L386" s="2" t="s">
        <v>99</v>
      </c>
      <c r="M386" s="3">
        <v>0</v>
      </c>
      <c r="N386" s="3">
        <v>0</v>
      </c>
      <c r="O386" s="9" t="s">
        <v>24</v>
      </c>
      <c r="P386" s="3">
        <v>-0.99</v>
      </c>
    </row>
    <row r="387" spans="1:16" x14ac:dyDescent="0.3">
      <c r="A387" s="2" t="s">
        <v>1446</v>
      </c>
      <c r="B387" s="2" t="s">
        <v>1447</v>
      </c>
      <c r="C387" s="2" t="s">
        <v>18</v>
      </c>
      <c r="D387" s="5">
        <v>41.257629999999999</v>
      </c>
      <c r="E387" s="5">
        <v>36.352670000000003</v>
      </c>
      <c r="F387" s="2" t="s">
        <v>1448</v>
      </c>
      <c r="G387" s="2" t="s">
        <v>28</v>
      </c>
      <c r="H387" s="2" t="s">
        <v>36</v>
      </c>
      <c r="I387" s="2" t="s">
        <v>37</v>
      </c>
      <c r="J387" s="2" t="s">
        <v>1449</v>
      </c>
      <c r="K387" s="2" t="s">
        <v>22</v>
      </c>
      <c r="L387" s="2" t="s">
        <v>99</v>
      </c>
      <c r="M387" s="3">
        <v>0</v>
      </c>
      <c r="N387" s="3">
        <v>1</v>
      </c>
      <c r="O387" s="9" t="s">
        <v>24</v>
      </c>
      <c r="P387" s="3">
        <v>0.23</v>
      </c>
    </row>
    <row r="388" spans="1:16" x14ac:dyDescent="0.3">
      <c r="A388" s="2" t="s">
        <v>1450</v>
      </c>
      <c r="B388" s="2" t="s">
        <v>1451</v>
      </c>
      <c r="C388" s="2" t="s">
        <v>18</v>
      </c>
      <c r="D388" s="5">
        <v>41.271829699999998</v>
      </c>
      <c r="E388" s="5">
        <v>36.344867600000001</v>
      </c>
      <c r="F388" s="2" t="s">
        <v>1452</v>
      </c>
      <c r="G388" s="2" t="s">
        <v>28</v>
      </c>
      <c r="H388" s="2" t="s">
        <v>29</v>
      </c>
      <c r="I388" s="2" t="s">
        <v>37</v>
      </c>
      <c r="J388" s="2" t="s">
        <v>1453</v>
      </c>
      <c r="K388" s="2" t="s">
        <v>22</v>
      </c>
      <c r="L388" s="2" t="s">
        <v>32</v>
      </c>
      <c r="M388" s="3">
        <v>0</v>
      </c>
      <c r="N388" s="3">
        <v>1</v>
      </c>
      <c r="O388" s="9" t="s">
        <v>54</v>
      </c>
      <c r="P388" s="3">
        <v>0</v>
      </c>
    </row>
    <row r="389" spans="1:16" x14ac:dyDescent="0.3">
      <c r="A389" s="2" t="s">
        <v>1454</v>
      </c>
      <c r="B389" s="2" t="s">
        <v>1455</v>
      </c>
      <c r="C389" s="2" t="s">
        <v>18</v>
      </c>
      <c r="D389" s="5">
        <v>41.069619699999997</v>
      </c>
      <c r="E389" s="5">
        <v>36.029526400000002</v>
      </c>
      <c r="F389" s="2" t="s">
        <v>1456</v>
      </c>
      <c r="G389" s="2" t="s">
        <v>28</v>
      </c>
      <c r="H389" s="2" t="s">
        <v>36</v>
      </c>
      <c r="I389" s="2" t="s">
        <v>37</v>
      </c>
      <c r="J389" s="2" t="s">
        <v>1457</v>
      </c>
      <c r="K389" s="2" t="s">
        <v>22</v>
      </c>
      <c r="L389" s="2" t="s">
        <v>224</v>
      </c>
      <c r="M389" s="3">
        <v>1</v>
      </c>
      <c r="N389" s="3">
        <v>1</v>
      </c>
      <c r="O389" s="9" t="s">
        <v>24</v>
      </c>
      <c r="P389" s="3">
        <v>-3950.89</v>
      </c>
    </row>
    <row r="390" spans="1:16" x14ac:dyDescent="0.3">
      <c r="A390" s="2" t="s">
        <v>1458</v>
      </c>
      <c r="B390" s="2" t="s">
        <v>1459</v>
      </c>
      <c r="C390" s="2" t="s">
        <v>18</v>
      </c>
      <c r="D390" s="5">
        <v>41.1998563</v>
      </c>
      <c r="E390" s="5">
        <v>36.724363799999999</v>
      </c>
      <c r="F390" s="2" t="s">
        <v>1460</v>
      </c>
      <c r="G390" s="2" t="s">
        <v>221</v>
      </c>
      <c r="H390" s="2" t="s">
        <v>222</v>
      </c>
      <c r="I390" s="2" t="s">
        <v>222</v>
      </c>
      <c r="J390" s="2" t="s">
        <v>1461</v>
      </c>
      <c r="K390" s="2" t="s">
        <v>22</v>
      </c>
      <c r="L390" s="2" t="s">
        <v>44</v>
      </c>
      <c r="M390" s="3">
        <v>3</v>
      </c>
      <c r="N390" s="3">
        <v>1</v>
      </c>
      <c r="O390" s="9" t="s">
        <v>24</v>
      </c>
      <c r="P390" s="3">
        <v>-434.9</v>
      </c>
    </row>
    <row r="391" spans="1:16" x14ac:dyDescent="0.3">
      <c r="A391" s="2" t="s">
        <v>1462</v>
      </c>
      <c r="B391" s="2" t="s">
        <v>1463</v>
      </c>
      <c r="C391" s="2" t="s">
        <v>18</v>
      </c>
      <c r="D391" s="5">
        <v>41.317998951699998</v>
      </c>
      <c r="E391" s="5">
        <v>36.320235433599997</v>
      </c>
      <c r="F391" s="2" t="s">
        <v>54</v>
      </c>
      <c r="G391" s="2" t="s">
        <v>259</v>
      </c>
      <c r="H391" s="2" t="s">
        <v>260</v>
      </c>
      <c r="I391" s="2" t="s">
        <v>260</v>
      </c>
      <c r="J391" s="2" t="s">
        <v>1464</v>
      </c>
      <c r="K391" s="2" t="s">
        <v>22</v>
      </c>
      <c r="L391" s="2" t="s">
        <v>32</v>
      </c>
      <c r="M391" s="3">
        <v>1</v>
      </c>
      <c r="N391" s="3">
        <v>1</v>
      </c>
      <c r="O391" s="9" t="s">
        <v>24</v>
      </c>
      <c r="P391" s="3">
        <v>0</v>
      </c>
    </row>
    <row r="392" spans="1:16" x14ac:dyDescent="0.3">
      <c r="A392" s="2" t="s">
        <v>1465</v>
      </c>
      <c r="B392" s="2" t="s">
        <v>1466</v>
      </c>
      <c r="C392" s="2" t="s">
        <v>18</v>
      </c>
      <c r="D392" s="5">
        <v>41.296922700000003</v>
      </c>
      <c r="E392" s="5">
        <v>36.325730399999998</v>
      </c>
      <c r="F392" s="2" t="s">
        <v>1467</v>
      </c>
      <c r="G392" s="2" t="s">
        <v>28</v>
      </c>
      <c r="H392" s="2" t="s">
        <v>36</v>
      </c>
      <c r="I392" s="2" t="s">
        <v>37</v>
      </c>
      <c r="J392" s="2" t="s">
        <v>1468</v>
      </c>
      <c r="K392" s="2" t="s">
        <v>22</v>
      </c>
      <c r="L392" s="2" t="s">
        <v>32</v>
      </c>
      <c r="M392" s="3">
        <v>1</v>
      </c>
      <c r="N392" s="3">
        <v>1</v>
      </c>
      <c r="O392" s="9" t="s">
        <v>24</v>
      </c>
      <c r="P392" s="3">
        <v>-0.33</v>
      </c>
    </row>
    <row r="393" spans="1:16" x14ac:dyDescent="0.3">
      <c r="A393" s="2" t="s">
        <v>1469</v>
      </c>
      <c r="B393" s="2" t="s">
        <v>1470</v>
      </c>
      <c r="C393" s="2" t="s">
        <v>18</v>
      </c>
      <c r="D393" s="5">
        <v>41.516007799999997</v>
      </c>
      <c r="E393" s="5">
        <v>36.016569500000003</v>
      </c>
      <c r="F393" s="2" t="s">
        <v>1471</v>
      </c>
      <c r="G393" s="2" t="s">
        <v>28</v>
      </c>
      <c r="H393" s="2" t="s">
        <v>36</v>
      </c>
      <c r="I393" s="2" t="s">
        <v>37</v>
      </c>
      <c r="J393" s="2" t="s">
        <v>1472</v>
      </c>
      <c r="K393" s="2" t="s">
        <v>22</v>
      </c>
      <c r="L393" s="2" t="s">
        <v>394</v>
      </c>
      <c r="M393" s="3">
        <v>2</v>
      </c>
      <c r="N393" s="3">
        <v>1</v>
      </c>
      <c r="O393" s="9" t="s">
        <v>24</v>
      </c>
      <c r="P393" s="3">
        <v>-1376.95</v>
      </c>
    </row>
    <row r="394" spans="1:16" x14ac:dyDescent="0.3">
      <c r="A394" s="2" t="s">
        <v>1473</v>
      </c>
      <c r="B394" s="2" t="s">
        <v>1474</v>
      </c>
      <c r="C394" s="2" t="s">
        <v>18</v>
      </c>
      <c r="D394" s="5">
        <v>42.022422499999998</v>
      </c>
      <c r="E394" s="5">
        <v>35.127279299999998</v>
      </c>
      <c r="F394" s="2" t="s">
        <v>54</v>
      </c>
      <c r="G394" s="2" t="s">
        <v>259</v>
      </c>
      <c r="H394" s="2" t="s">
        <v>260</v>
      </c>
      <c r="I394" s="2" t="s">
        <v>260</v>
      </c>
      <c r="J394" s="2" t="s">
        <v>1475</v>
      </c>
      <c r="K394" s="2" t="s">
        <v>154</v>
      </c>
      <c r="L394" s="2" t="s">
        <v>155</v>
      </c>
      <c r="M394" s="3">
        <v>0</v>
      </c>
      <c r="N394" s="3">
        <v>1</v>
      </c>
      <c r="O394" s="9" t="s">
        <v>24</v>
      </c>
      <c r="P394" s="3">
        <v>0</v>
      </c>
    </row>
    <row r="395" spans="1:16" x14ac:dyDescent="0.3">
      <c r="A395" s="2" t="s">
        <v>1476</v>
      </c>
      <c r="B395" s="2" t="s">
        <v>1477</v>
      </c>
      <c r="C395" s="2" t="s">
        <v>18</v>
      </c>
      <c r="D395" s="5">
        <v>41.217443000000003</v>
      </c>
      <c r="E395" s="5">
        <v>36.412229799999999</v>
      </c>
      <c r="F395" s="2" t="s">
        <v>1478</v>
      </c>
      <c r="G395" s="2" t="s">
        <v>28</v>
      </c>
      <c r="H395" s="2" t="s">
        <v>29</v>
      </c>
      <c r="I395" s="2" t="s">
        <v>37</v>
      </c>
      <c r="J395" s="2" t="s">
        <v>1479</v>
      </c>
      <c r="K395" s="2" t="s">
        <v>22</v>
      </c>
      <c r="L395" s="2" t="s">
        <v>39</v>
      </c>
      <c r="M395" s="3">
        <v>0</v>
      </c>
      <c r="N395" s="3">
        <v>0</v>
      </c>
      <c r="O395" s="9" t="s">
        <v>54</v>
      </c>
      <c r="P395" s="3">
        <v>0</v>
      </c>
    </row>
    <row r="396" spans="1:16" x14ac:dyDescent="0.3">
      <c r="A396" s="2" t="s">
        <v>1480</v>
      </c>
      <c r="B396" s="2" t="s">
        <v>1481</v>
      </c>
      <c r="C396" s="2" t="s">
        <v>18</v>
      </c>
      <c r="D396" s="5">
        <v>41.040395428811998</v>
      </c>
      <c r="E396" s="5">
        <v>36.241473940826999</v>
      </c>
      <c r="F396" s="2" t="s">
        <v>1482</v>
      </c>
      <c r="G396" s="2" t="s">
        <v>28</v>
      </c>
      <c r="H396" s="2" t="s">
        <v>318</v>
      </c>
      <c r="I396" s="2" t="s">
        <v>409</v>
      </c>
      <c r="J396" s="2" t="s">
        <v>1483</v>
      </c>
      <c r="K396" s="2" t="s">
        <v>22</v>
      </c>
      <c r="L396" s="2" t="s">
        <v>435</v>
      </c>
      <c r="M396" s="3">
        <v>1</v>
      </c>
      <c r="N396" s="3">
        <v>1</v>
      </c>
      <c r="O396" s="9" t="s">
        <v>24</v>
      </c>
      <c r="P396" s="3">
        <v>0</v>
      </c>
    </row>
    <row r="397" spans="1:16" x14ac:dyDescent="0.3">
      <c r="A397" s="2" t="s">
        <v>1484</v>
      </c>
      <c r="B397" s="2" t="s">
        <v>1485</v>
      </c>
      <c r="C397" s="2" t="s">
        <v>18</v>
      </c>
      <c r="D397" s="5">
        <v>41.196461999999997</v>
      </c>
      <c r="E397" s="5">
        <v>36.716283400000002</v>
      </c>
      <c r="F397" s="2" t="s">
        <v>1486</v>
      </c>
      <c r="G397" s="2" t="s">
        <v>28</v>
      </c>
      <c r="H397" s="2" t="s">
        <v>36</v>
      </c>
      <c r="I397" s="2" t="s">
        <v>37</v>
      </c>
      <c r="J397" s="2" t="s">
        <v>1487</v>
      </c>
      <c r="K397" s="2" t="s">
        <v>22</v>
      </c>
      <c r="L397" s="2" t="s">
        <v>44</v>
      </c>
      <c r="M397" s="3">
        <v>1</v>
      </c>
      <c r="N397" s="3">
        <v>1</v>
      </c>
      <c r="O397" s="9" t="s">
        <v>24</v>
      </c>
      <c r="P397" s="3">
        <v>-1164.53</v>
      </c>
    </row>
    <row r="398" spans="1:16" x14ac:dyDescent="0.3">
      <c r="A398" s="2" t="s">
        <v>1488</v>
      </c>
      <c r="B398" s="2" t="s">
        <v>1489</v>
      </c>
      <c r="C398" s="2" t="s">
        <v>18</v>
      </c>
      <c r="D398" s="5">
        <v>41.259259700000001</v>
      </c>
      <c r="E398" s="5">
        <v>36.733682299999998</v>
      </c>
      <c r="F398" s="2" t="s">
        <v>1490</v>
      </c>
      <c r="G398" s="2" t="s">
        <v>28</v>
      </c>
      <c r="H398" s="2" t="s">
        <v>36</v>
      </c>
      <c r="I398" s="2" t="s">
        <v>37</v>
      </c>
      <c r="J398" s="2" t="s">
        <v>1491</v>
      </c>
      <c r="K398" s="2" t="s">
        <v>22</v>
      </c>
      <c r="L398" s="2" t="s">
        <v>44</v>
      </c>
      <c r="M398" s="3">
        <v>2</v>
      </c>
      <c r="N398" s="3">
        <v>1</v>
      </c>
      <c r="O398" s="9" t="s">
        <v>24</v>
      </c>
      <c r="P398" s="3">
        <v>-0.64</v>
      </c>
    </row>
    <row r="399" spans="1:16" x14ac:dyDescent="0.3">
      <c r="A399" s="2" t="s">
        <v>1492</v>
      </c>
      <c r="B399" s="2" t="s">
        <v>1493</v>
      </c>
      <c r="C399" s="2" t="s">
        <v>18</v>
      </c>
      <c r="D399" s="5">
        <v>41.337017899999999</v>
      </c>
      <c r="E399" s="5">
        <v>36.621652900000001</v>
      </c>
      <c r="F399" s="2" t="s">
        <v>1494</v>
      </c>
      <c r="G399" s="2" t="s">
        <v>28</v>
      </c>
      <c r="H399" s="2" t="s">
        <v>36</v>
      </c>
      <c r="I399" s="2" t="s">
        <v>37</v>
      </c>
      <c r="J399" s="2" t="s">
        <v>1495</v>
      </c>
      <c r="K399" s="2" t="s">
        <v>22</v>
      </c>
      <c r="L399" s="2" t="s">
        <v>44</v>
      </c>
      <c r="M399" s="3">
        <v>2</v>
      </c>
      <c r="N399" s="3">
        <v>1</v>
      </c>
      <c r="O399" s="9" t="s">
        <v>54</v>
      </c>
      <c r="P399" s="3">
        <v>0</v>
      </c>
    </row>
    <row r="400" spans="1:16" x14ac:dyDescent="0.3">
      <c r="A400" s="2" t="s">
        <v>1498</v>
      </c>
      <c r="B400" s="2" t="s">
        <v>1499</v>
      </c>
      <c r="C400" s="2" t="s">
        <v>18</v>
      </c>
      <c r="D400" s="5">
        <v>41.2634471</v>
      </c>
      <c r="E400" s="5">
        <v>36.317264399999999</v>
      </c>
      <c r="F400" s="2" t="s">
        <v>54</v>
      </c>
      <c r="G400" s="2" t="s">
        <v>259</v>
      </c>
      <c r="H400" s="2" t="s">
        <v>260</v>
      </c>
      <c r="I400" s="2" t="s">
        <v>260</v>
      </c>
      <c r="J400" s="2" t="s">
        <v>1500</v>
      </c>
      <c r="K400" s="2" t="s">
        <v>22</v>
      </c>
      <c r="L400" s="2" t="s">
        <v>32</v>
      </c>
      <c r="M400" s="3">
        <v>1</v>
      </c>
      <c r="N400" s="3">
        <v>1</v>
      </c>
      <c r="O400" s="9" t="s">
        <v>24</v>
      </c>
      <c r="P400" s="3">
        <v>0</v>
      </c>
    </row>
    <row r="401" spans="1:16" x14ac:dyDescent="0.3">
      <c r="A401" s="2" t="s">
        <v>1501</v>
      </c>
      <c r="B401" s="2" t="s">
        <v>1502</v>
      </c>
      <c r="C401" s="2" t="s">
        <v>18</v>
      </c>
      <c r="D401" s="5">
        <v>41.206858799999999</v>
      </c>
      <c r="E401" s="5">
        <v>36.974657999999998</v>
      </c>
      <c r="F401" s="2" t="s">
        <v>54</v>
      </c>
      <c r="G401" s="2" t="s">
        <v>259</v>
      </c>
      <c r="H401" s="2" t="s">
        <v>260</v>
      </c>
      <c r="I401" s="2" t="s">
        <v>260</v>
      </c>
      <c r="J401" s="2" t="s">
        <v>1503</v>
      </c>
      <c r="K401" s="2" t="s">
        <v>22</v>
      </c>
      <c r="L401" s="2" t="s">
        <v>328</v>
      </c>
      <c r="M401" s="3">
        <v>1</v>
      </c>
      <c r="N401" s="3">
        <v>1</v>
      </c>
      <c r="O401" s="9" t="s">
        <v>24</v>
      </c>
      <c r="P401" s="3">
        <v>0</v>
      </c>
    </row>
    <row r="402" spans="1:16" x14ac:dyDescent="0.3">
      <c r="A402" s="2" t="s">
        <v>1504</v>
      </c>
      <c r="B402" s="2" t="s">
        <v>1505</v>
      </c>
      <c r="C402" s="2" t="s">
        <v>18</v>
      </c>
      <c r="D402" s="5">
        <v>41.2880933</v>
      </c>
      <c r="E402" s="5">
        <v>36.308072799999998</v>
      </c>
      <c r="F402" s="2" t="s">
        <v>54</v>
      </c>
      <c r="G402" s="2" t="s">
        <v>259</v>
      </c>
      <c r="H402" s="2" t="s">
        <v>260</v>
      </c>
      <c r="I402" s="2" t="s">
        <v>260</v>
      </c>
      <c r="J402" s="2" t="s">
        <v>1506</v>
      </c>
      <c r="K402" s="2" t="s">
        <v>22</v>
      </c>
      <c r="L402" s="2" t="s">
        <v>32</v>
      </c>
      <c r="M402" s="3">
        <v>1</v>
      </c>
      <c r="N402" s="3">
        <v>1</v>
      </c>
      <c r="O402" s="9" t="s">
        <v>24</v>
      </c>
      <c r="P402" s="3">
        <v>0</v>
      </c>
    </row>
    <row r="403" spans="1:16" x14ac:dyDescent="0.3">
      <c r="A403" s="2" t="s">
        <v>1507</v>
      </c>
      <c r="B403" s="2" t="s">
        <v>1508</v>
      </c>
      <c r="C403" s="2" t="s">
        <v>18</v>
      </c>
      <c r="D403" s="5">
        <v>42.017262299999999</v>
      </c>
      <c r="E403" s="5">
        <v>35.123035299999998</v>
      </c>
      <c r="F403" s="2" t="s">
        <v>54</v>
      </c>
      <c r="G403" s="2" t="s">
        <v>259</v>
      </c>
      <c r="H403" s="2" t="s">
        <v>260</v>
      </c>
      <c r="I403" s="2" t="s">
        <v>260</v>
      </c>
      <c r="J403" s="2" t="s">
        <v>1509</v>
      </c>
      <c r="K403" s="2" t="s">
        <v>154</v>
      </c>
      <c r="L403" s="2" t="s">
        <v>155</v>
      </c>
      <c r="M403" s="3">
        <v>1</v>
      </c>
      <c r="N403" s="3">
        <v>1</v>
      </c>
      <c r="O403" s="9" t="s">
        <v>24</v>
      </c>
      <c r="P403" s="3">
        <v>0</v>
      </c>
    </row>
    <row r="404" spans="1:16" x14ac:dyDescent="0.3">
      <c r="A404" s="2" t="s">
        <v>1510</v>
      </c>
      <c r="B404" s="2" t="s">
        <v>1511</v>
      </c>
      <c r="C404" s="2" t="s">
        <v>18</v>
      </c>
      <c r="D404" s="5">
        <v>41.200085899999998</v>
      </c>
      <c r="E404" s="5">
        <v>36.724252999999997</v>
      </c>
      <c r="F404" s="2" t="s">
        <v>784</v>
      </c>
      <c r="G404" s="2" t="s">
        <v>28</v>
      </c>
      <c r="H404" s="2" t="s">
        <v>36</v>
      </c>
      <c r="I404" s="2" t="s">
        <v>37</v>
      </c>
      <c r="J404" s="2" t="s">
        <v>1512</v>
      </c>
      <c r="K404" s="2" t="s">
        <v>22</v>
      </c>
      <c r="L404" s="2" t="s">
        <v>44</v>
      </c>
      <c r="M404" s="3">
        <v>1</v>
      </c>
      <c r="N404" s="3">
        <v>1</v>
      </c>
      <c r="O404" s="9" t="s">
        <v>24</v>
      </c>
      <c r="P404" s="3">
        <v>-0.01</v>
      </c>
    </row>
    <row r="405" spans="1:16" x14ac:dyDescent="0.3">
      <c r="A405" s="2" t="s">
        <v>1513</v>
      </c>
      <c r="B405" s="2" t="s">
        <v>1514</v>
      </c>
      <c r="C405" s="2" t="s">
        <v>18</v>
      </c>
      <c r="D405" s="5">
        <v>41.538949500000001</v>
      </c>
      <c r="E405" s="5">
        <v>35.9109774</v>
      </c>
      <c r="F405" s="2" t="s">
        <v>1515</v>
      </c>
      <c r="G405" s="2" t="s">
        <v>28</v>
      </c>
      <c r="H405" s="2" t="s">
        <v>29</v>
      </c>
      <c r="I405" s="2" t="s">
        <v>37</v>
      </c>
      <c r="J405" s="2" t="s">
        <v>1516</v>
      </c>
      <c r="K405" s="2" t="s">
        <v>22</v>
      </c>
      <c r="L405" s="2" t="s">
        <v>53</v>
      </c>
      <c r="M405" s="3">
        <v>0</v>
      </c>
      <c r="N405" s="3">
        <v>0</v>
      </c>
      <c r="O405" s="9" t="s">
        <v>24</v>
      </c>
      <c r="P405" s="3">
        <v>0</v>
      </c>
    </row>
    <row r="406" spans="1:16" x14ac:dyDescent="0.3">
      <c r="A406" s="2" t="s">
        <v>1517</v>
      </c>
      <c r="B406" s="2" t="s">
        <v>1518</v>
      </c>
      <c r="C406" s="2" t="s">
        <v>18</v>
      </c>
      <c r="D406" s="5">
        <v>41.291505999999998</v>
      </c>
      <c r="E406" s="5">
        <v>36.270263</v>
      </c>
      <c r="F406" s="2" t="s">
        <v>1519</v>
      </c>
      <c r="G406" s="2" t="s">
        <v>28</v>
      </c>
      <c r="H406" s="2" t="s">
        <v>682</v>
      </c>
      <c r="I406" s="2" t="s">
        <v>37</v>
      </c>
      <c r="J406" s="2" t="s">
        <v>1520</v>
      </c>
      <c r="K406" s="2" t="s">
        <v>22</v>
      </c>
      <c r="L406" s="2" t="s">
        <v>32</v>
      </c>
      <c r="M406" s="3">
        <v>0</v>
      </c>
      <c r="N406" s="3">
        <v>0</v>
      </c>
      <c r="O406" s="9" t="s">
        <v>24</v>
      </c>
      <c r="P406" s="3">
        <v>0</v>
      </c>
    </row>
    <row r="407" spans="1:16" x14ac:dyDescent="0.3">
      <c r="A407" s="2" t="s">
        <v>1521</v>
      </c>
      <c r="B407" s="2" t="s">
        <v>1522</v>
      </c>
      <c r="C407" s="2" t="s">
        <v>18</v>
      </c>
      <c r="D407" s="5">
        <v>41.172053699999999</v>
      </c>
      <c r="E407" s="5">
        <v>35.391637199999998</v>
      </c>
      <c r="F407" s="2" t="s">
        <v>1523</v>
      </c>
      <c r="G407" s="2" t="s">
        <v>28</v>
      </c>
      <c r="H407" s="2" t="s">
        <v>29</v>
      </c>
      <c r="I407" s="2" t="s">
        <v>37</v>
      </c>
      <c r="J407" s="2" t="s">
        <v>1524</v>
      </c>
      <c r="K407" s="2" t="s">
        <v>22</v>
      </c>
      <c r="L407" s="2" t="s">
        <v>164</v>
      </c>
      <c r="M407" s="3">
        <v>1</v>
      </c>
      <c r="N407" s="3">
        <v>1</v>
      </c>
      <c r="O407" s="9" t="s">
        <v>24</v>
      </c>
      <c r="P407" s="3">
        <v>-17.190000000000001</v>
      </c>
    </row>
    <row r="408" spans="1:16" x14ac:dyDescent="0.3">
      <c r="A408" s="2" t="s">
        <v>1525</v>
      </c>
      <c r="B408" s="2" t="s">
        <v>1526</v>
      </c>
      <c r="C408" s="2" t="s">
        <v>18</v>
      </c>
      <c r="D408" s="5">
        <v>41.807502900000003</v>
      </c>
      <c r="E408" s="5">
        <v>35.193052000000002</v>
      </c>
      <c r="F408" s="2" t="s">
        <v>54</v>
      </c>
      <c r="G408" s="2" t="s">
        <v>259</v>
      </c>
      <c r="H408" s="2" t="s">
        <v>260</v>
      </c>
      <c r="I408" s="2" t="s">
        <v>260</v>
      </c>
      <c r="J408" s="2" t="s">
        <v>1527</v>
      </c>
      <c r="K408" s="2" t="s">
        <v>154</v>
      </c>
      <c r="L408" s="2" t="s">
        <v>302</v>
      </c>
      <c r="M408" s="3">
        <v>1</v>
      </c>
      <c r="N408" s="3">
        <v>1</v>
      </c>
      <c r="O408" s="9" t="s">
        <v>24</v>
      </c>
      <c r="P408" s="3">
        <v>0</v>
      </c>
    </row>
    <row r="409" spans="1:16" x14ac:dyDescent="0.3">
      <c r="A409" s="2" t="s">
        <v>1528</v>
      </c>
      <c r="B409" s="2" t="s">
        <v>1529</v>
      </c>
      <c r="C409" s="2" t="s">
        <v>18</v>
      </c>
      <c r="D409" s="5">
        <v>41.420097200000001</v>
      </c>
      <c r="E409" s="5">
        <v>36.166289399999997</v>
      </c>
      <c r="F409" s="2" t="s">
        <v>54</v>
      </c>
      <c r="G409" s="2" t="s">
        <v>259</v>
      </c>
      <c r="H409" s="2" t="s">
        <v>260</v>
      </c>
      <c r="I409" s="2" t="s">
        <v>260</v>
      </c>
      <c r="J409" s="2" t="s">
        <v>1530</v>
      </c>
      <c r="K409" s="2" t="s">
        <v>22</v>
      </c>
      <c r="L409" s="2" t="s">
        <v>23</v>
      </c>
      <c r="M409" s="3">
        <v>1</v>
      </c>
      <c r="N409" s="3">
        <v>1</v>
      </c>
      <c r="O409" s="9" t="s">
        <v>24</v>
      </c>
      <c r="P409" s="3">
        <v>0</v>
      </c>
    </row>
    <row r="410" spans="1:16" x14ac:dyDescent="0.3">
      <c r="A410" s="2" t="s">
        <v>1531</v>
      </c>
      <c r="B410" s="2" t="s">
        <v>1532</v>
      </c>
      <c r="C410" s="2" t="s">
        <v>18</v>
      </c>
      <c r="D410" s="5">
        <v>41.879845000000003</v>
      </c>
      <c r="E410" s="5">
        <v>34.905825999999998</v>
      </c>
      <c r="F410" s="2" t="s">
        <v>54</v>
      </c>
      <c r="G410" s="2" t="s">
        <v>259</v>
      </c>
      <c r="H410" s="2" t="s">
        <v>260</v>
      </c>
      <c r="I410" s="2" t="s">
        <v>260</v>
      </c>
      <c r="J410" s="2" t="s">
        <v>1533</v>
      </c>
      <c r="K410" s="2" t="s">
        <v>154</v>
      </c>
      <c r="L410" s="2" t="s">
        <v>1070</v>
      </c>
      <c r="M410" s="3">
        <v>1</v>
      </c>
      <c r="N410" s="3">
        <v>1</v>
      </c>
      <c r="O410" s="9" t="s">
        <v>24</v>
      </c>
      <c r="P410" s="3">
        <v>0</v>
      </c>
    </row>
    <row r="411" spans="1:16" x14ac:dyDescent="0.3">
      <c r="A411" s="2" t="s">
        <v>1534</v>
      </c>
      <c r="B411" s="2" t="s">
        <v>1535</v>
      </c>
      <c r="C411" s="2" t="s">
        <v>18</v>
      </c>
      <c r="D411" s="5">
        <v>41.204759799999998</v>
      </c>
      <c r="E411" s="5">
        <v>36.722273299999998</v>
      </c>
      <c r="F411" s="2" t="s">
        <v>54</v>
      </c>
      <c r="G411" s="2" t="s">
        <v>259</v>
      </c>
      <c r="H411" s="2" t="s">
        <v>260</v>
      </c>
      <c r="I411" s="2" t="s">
        <v>260</v>
      </c>
      <c r="J411" s="2" t="s">
        <v>1536</v>
      </c>
      <c r="K411" s="2" t="s">
        <v>22</v>
      </c>
      <c r="L411" s="2" t="s">
        <v>44</v>
      </c>
      <c r="M411" s="3">
        <v>1</v>
      </c>
      <c r="N411" s="3">
        <v>1</v>
      </c>
      <c r="O411" s="9" t="s">
        <v>24</v>
      </c>
      <c r="P411" s="3">
        <v>0</v>
      </c>
    </row>
    <row r="412" spans="1:16" x14ac:dyDescent="0.3">
      <c r="A412" s="2" t="s">
        <v>1537</v>
      </c>
      <c r="B412" s="2" t="s">
        <v>1538</v>
      </c>
      <c r="C412" s="2" t="s">
        <v>18</v>
      </c>
      <c r="D412" s="5">
        <v>41.489313899999999</v>
      </c>
      <c r="E412" s="5">
        <v>36.088000399999999</v>
      </c>
      <c r="F412" s="2" t="s">
        <v>1151</v>
      </c>
      <c r="G412" s="2" t="s">
        <v>28</v>
      </c>
      <c r="H412" s="2" t="s">
        <v>682</v>
      </c>
      <c r="I412" s="2" t="s">
        <v>37</v>
      </c>
      <c r="J412" s="2" t="s">
        <v>1539</v>
      </c>
      <c r="K412" s="2" t="s">
        <v>22</v>
      </c>
      <c r="L412" s="2" t="s">
        <v>394</v>
      </c>
      <c r="M412" s="3">
        <v>1</v>
      </c>
      <c r="N412" s="3">
        <v>1</v>
      </c>
      <c r="O412" s="9" t="s">
        <v>24</v>
      </c>
      <c r="P412" s="3">
        <v>0</v>
      </c>
    </row>
    <row r="413" spans="1:16" x14ac:dyDescent="0.3">
      <c r="A413" s="2" t="s">
        <v>1540</v>
      </c>
      <c r="B413" s="2" t="s">
        <v>1541</v>
      </c>
      <c r="C413" s="2" t="s">
        <v>18</v>
      </c>
      <c r="D413" s="5">
        <v>41.9857704</v>
      </c>
      <c r="E413" s="5">
        <v>35.083735599999997</v>
      </c>
      <c r="F413" s="2" t="s">
        <v>1542</v>
      </c>
      <c r="G413" s="2" t="s">
        <v>221</v>
      </c>
      <c r="H413" s="2" t="s">
        <v>1049</v>
      </c>
      <c r="I413" s="2" t="s">
        <v>1049</v>
      </c>
      <c r="J413" s="2" t="s">
        <v>1543</v>
      </c>
      <c r="K413" s="2" t="s">
        <v>154</v>
      </c>
      <c r="L413" s="2" t="s">
        <v>155</v>
      </c>
      <c r="M413" s="3">
        <v>3</v>
      </c>
      <c r="N413" s="3">
        <v>1</v>
      </c>
      <c r="O413" s="9" t="s">
        <v>54</v>
      </c>
      <c r="P413" s="3">
        <v>0</v>
      </c>
    </row>
    <row r="414" spans="1:16" x14ac:dyDescent="0.3">
      <c r="A414" s="2" t="s">
        <v>1544</v>
      </c>
      <c r="B414" s="2" t="s">
        <v>1545</v>
      </c>
      <c r="C414" s="2" t="s">
        <v>18</v>
      </c>
      <c r="D414" s="5">
        <v>41.5688599</v>
      </c>
      <c r="E414" s="5">
        <v>35.880460999999997</v>
      </c>
      <c r="F414" s="2" t="s">
        <v>1546</v>
      </c>
      <c r="G414" s="2" t="s">
        <v>221</v>
      </c>
      <c r="H414" s="2" t="s">
        <v>1049</v>
      </c>
      <c r="I414" s="2" t="s">
        <v>1049</v>
      </c>
      <c r="J414" s="2" t="s">
        <v>1547</v>
      </c>
      <c r="K414" s="2" t="s">
        <v>22</v>
      </c>
      <c r="L414" s="2" t="s">
        <v>53</v>
      </c>
      <c r="M414" s="3">
        <v>1</v>
      </c>
      <c r="N414" s="3">
        <v>1</v>
      </c>
      <c r="O414" s="9" t="s">
        <v>24</v>
      </c>
      <c r="P414" s="3">
        <v>-0.03</v>
      </c>
    </row>
    <row r="415" spans="1:16" x14ac:dyDescent="0.3">
      <c r="A415" s="2" t="s">
        <v>1548</v>
      </c>
      <c r="B415" s="2" t="s">
        <v>1549</v>
      </c>
      <c r="C415" s="2" t="s">
        <v>18</v>
      </c>
      <c r="D415" s="5">
        <v>41.565168300000003</v>
      </c>
      <c r="E415" s="5">
        <v>35.905889999999999</v>
      </c>
      <c r="F415" s="2" t="s">
        <v>1550</v>
      </c>
      <c r="G415" s="2" t="s">
        <v>221</v>
      </c>
      <c r="H415" s="2" t="s">
        <v>1049</v>
      </c>
      <c r="I415" s="2" t="s">
        <v>1049</v>
      </c>
      <c r="J415" s="2" t="s">
        <v>1551</v>
      </c>
      <c r="K415" s="2" t="s">
        <v>22</v>
      </c>
      <c r="L415" s="2" t="s">
        <v>53</v>
      </c>
      <c r="M415" s="3">
        <v>1</v>
      </c>
      <c r="N415" s="3">
        <v>1</v>
      </c>
      <c r="O415" s="9" t="s">
        <v>24</v>
      </c>
      <c r="P415" s="3">
        <v>-0.12</v>
      </c>
    </row>
    <row r="416" spans="1:16" x14ac:dyDescent="0.3">
      <c r="A416" s="2" t="s">
        <v>1552</v>
      </c>
      <c r="B416" s="2" t="s">
        <v>1553</v>
      </c>
      <c r="C416" s="2" t="s">
        <v>18</v>
      </c>
      <c r="D416" s="5">
        <v>41.538555100000004</v>
      </c>
      <c r="E416" s="5">
        <v>35.870757599999997</v>
      </c>
      <c r="F416" s="2" t="s">
        <v>1554</v>
      </c>
      <c r="G416" s="2" t="s">
        <v>221</v>
      </c>
      <c r="H416" s="2" t="s">
        <v>1049</v>
      </c>
      <c r="I416" s="2" t="s">
        <v>1049</v>
      </c>
      <c r="J416" s="2" t="s">
        <v>1555</v>
      </c>
      <c r="K416" s="2" t="s">
        <v>22</v>
      </c>
      <c r="L416" s="2" t="s">
        <v>53</v>
      </c>
      <c r="M416" s="3">
        <v>1</v>
      </c>
      <c r="N416" s="3">
        <v>1</v>
      </c>
      <c r="O416" s="9" t="s">
        <v>24</v>
      </c>
      <c r="P416" s="3">
        <v>0</v>
      </c>
    </row>
    <row r="417" spans="1:16" x14ac:dyDescent="0.3">
      <c r="A417" s="2" t="s">
        <v>1556</v>
      </c>
      <c r="B417" s="2" t="s">
        <v>1557</v>
      </c>
      <c r="C417" s="2" t="s">
        <v>18</v>
      </c>
      <c r="D417" s="5">
        <v>41.266821</v>
      </c>
      <c r="E417" s="5">
        <v>36.358581999999998</v>
      </c>
      <c r="F417" s="2" t="s">
        <v>1558</v>
      </c>
      <c r="G417" s="2" t="s">
        <v>28</v>
      </c>
      <c r="H417" s="2" t="s">
        <v>29</v>
      </c>
      <c r="I417" s="2" t="s">
        <v>37</v>
      </c>
      <c r="J417" s="2" t="s">
        <v>1559</v>
      </c>
      <c r="K417" s="2" t="s">
        <v>22</v>
      </c>
      <c r="L417" s="2" t="s">
        <v>99</v>
      </c>
      <c r="M417" s="3">
        <v>1</v>
      </c>
      <c r="N417" s="3">
        <v>1</v>
      </c>
      <c r="O417" s="9" t="s">
        <v>24</v>
      </c>
      <c r="P417" s="3">
        <v>0</v>
      </c>
    </row>
    <row r="418" spans="1:16" x14ac:dyDescent="0.3">
      <c r="A418" s="2" t="s">
        <v>1560</v>
      </c>
      <c r="B418" s="2" t="s">
        <v>1561</v>
      </c>
      <c r="C418" s="2" t="s">
        <v>18</v>
      </c>
      <c r="D418" s="5">
        <v>41.262767400000001</v>
      </c>
      <c r="E418" s="5">
        <v>36.351995299999999</v>
      </c>
      <c r="F418" s="2" t="s">
        <v>1562</v>
      </c>
      <c r="G418" s="2" t="s">
        <v>221</v>
      </c>
      <c r="H418" s="2" t="s">
        <v>1049</v>
      </c>
      <c r="I418" s="2" t="s">
        <v>1049</v>
      </c>
      <c r="J418" s="2" t="s">
        <v>1563</v>
      </c>
      <c r="K418" s="2" t="s">
        <v>22</v>
      </c>
      <c r="L418" s="2" t="s">
        <v>99</v>
      </c>
      <c r="M418" s="3">
        <v>4</v>
      </c>
      <c r="N418" s="3">
        <v>1</v>
      </c>
      <c r="O418" s="9" t="s">
        <v>24</v>
      </c>
      <c r="P418" s="3">
        <v>148135.04999999999</v>
      </c>
    </row>
    <row r="419" spans="1:16" x14ac:dyDescent="0.3">
      <c r="A419" s="2" t="s">
        <v>1564</v>
      </c>
      <c r="B419" s="2" t="s">
        <v>1565</v>
      </c>
      <c r="C419" s="2" t="s">
        <v>18</v>
      </c>
      <c r="D419" s="5">
        <v>41.261655900000001</v>
      </c>
      <c r="E419" s="5">
        <v>36.366951399999998</v>
      </c>
      <c r="F419" s="2" t="s">
        <v>1566</v>
      </c>
      <c r="G419" s="2" t="s">
        <v>221</v>
      </c>
      <c r="H419" s="2" t="s">
        <v>1049</v>
      </c>
      <c r="I419" s="2" t="s">
        <v>1049</v>
      </c>
      <c r="J419" s="2" t="s">
        <v>1567</v>
      </c>
      <c r="K419" s="2" t="s">
        <v>22</v>
      </c>
      <c r="L419" s="2" t="s">
        <v>99</v>
      </c>
      <c r="M419" s="3">
        <v>2</v>
      </c>
      <c r="N419" s="3">
        <v>1</v>
      </c>
      <c r="O419" s="9" t="s">
        <v>24</v>
      </c>
      <c r="P419" s="3">
        <v>29452.87</v>
      </c>
    </row>
    <row r="420" spans="1:16" x14ac:dyDescent="0.3">
      <c r="A420" s="2" t="s">
        <v>1568</v>
      </c>
      <c r="B420" s="2" t="s">
        <v>1569</v>
      </c>
      <c r="C420" s="2" t="s">
        <v>18</v>
      </c>
      <c r="D420" s="5">
        <v>41.108430499999997</v>
      </c>
      <c r="E420" s="5">
        <v>37.354973399999999</v>
      </c>
      <c r="F420" s="2" t="s">
        <v>54</v>
      </c>
      <c r="G420" s="2" t="s">
        <v>259</v>
      </c>
      <c r="H420" s="2" t="s">
        <v>260</v>
      </c>
      <c r="I420" s="2" t="s">
        <v>260</v>
      </c>
      <c r="J420" s="2" t="s">
        <v>1570</v>
      </c>
      <c r="K420" s="2" t="s">
        <v>63</v>
      </c>
      <c r="L420" s="2" t="s">
        <v>89</v>
      </c>
      <c r="M420" s="3">
        <v>1</v>
      </c>
      <c r="N420" s="3">
        <v>1</v>
      </c>
      <c r="O420" s="9" t="s">
        <v>24</v>
      </c>
      <c r="P420" s="3">
        <v>0</v>
      </c>
    </row>
    <row r="421" spans="1:16" x14ac:dyDescent="0.3">
      <c r="A421" s="2" t="s">
        <v>1571</v>
      </c>
      <c r="B421" s="2" t="s">
        <v>1572</v>
      </c>
      <c r="C421" s="2" t="s">
        <v>18</v>
      </c>
      <c r="D421" s="5">
        <v>41.565778799999997</v>
      </c>
      <c r="E421" s="5">
        <v>35.883115199999999</v>
      </c>
      <c r="F421" s="2" t="s">
        <v>1573</v>
      </c>
      <c r="G421" s="2" t="s">
        <v>221</v>
      </c>
      <c r="H421" s="2" t="s">
        <v>1049</v>
      </c>
      <c r="I421" s="2" t="s">
        <v>1049</v>
      </c>
      <c r="J421" s="2" t="s">
        <v>1574</v>
      </c>
      <c r="K421" s="2" t="s">
        <v>22</v>
      </c>
      <c r="L421" s="2" t="s">
        <v>53</v>
      </c>
      <c r="M421" s="3">
        <v>1</v>
      </c>
      <c r="N421" s="3">
        <v>1</v>
      </c>
      <c r="O421" s="9" t="s">
        <v>24</v>
      </c>
      <c r="P421" s="3">
        <v>-28.2</v>
      </c>
    </row>
    <row r="422" spans="1:16" x14ac:dyDescent="0.3">
      <c r="A422" s="2" t="s">
        <v>1575</v>
      </c>
      <c r="B422" s="2" t="s">
        <v>1576</v>
      </c>
      <c r="C422" s="2" t="s">
        <v>18</v>
      </c>
      <c r="D422" s="5">
        <v>41.276130600000002</v>
      </c>
      <c r="E422" s="5">
        <v>36.3223883</v>
      </c>
      <c r="F422" s="2" t="s">
        <v>54</v>
      </c>
      <c r="G422" s="2" t="s">
        <v>259</v>
      </c>
      <c r="H422" s="2" t="s">
        <v>260</v>
      </c>
      <c r="I422" s="2" t="s">
        <v>260</v>
      </c>
      <c r="J422" s="2" t="s">
        <v>1577</v>
      </c>
      <c r="K422" s="2" t="s">
        <v>22</v>
      </c>
      <c r="L422" s="2" t="s">
        <v>32</v>
      </c>
      <c r="M422" s="3">
        <v>1</v>
      </c>
      <c r="N422" s="3">
        <v>1</v>
      </c>
      <c r="O422" s="9" t="s">
        <v>24</v>
      </c>
      <c r="P422" s="3">
        <v>0</v>
      </c>
    </row>
    <row r="423" spans="1:16" x14ac:dyDescent="0.3">
      <c r="A423" s="2" t="s">
        <v>1578</v>
      </c>
      <c r="B423" s="2" t="s">
        <v>1579</v>
      </c>
      <c r="C423" s="2" t="s">
        <v>18</v>
      </c>
      <c r="D423" s="5">
        <v>40.965249900000003</v>
      </c>
      <c r="E423" s="5">
        <v>35.665020699999999</v>
      </c>
      <c r="F423" s="2" t="s">
        <v>1580</v>
      </c>
      <c r="G423" s="2" t="s">
        <v>28</v>
      </c>
      <c r="H423" s="2" t="s">
        <v>36</v>
      </c>
      <c r="I423" s="2" t="s">
        <v>37</v>
      </c>
      <c r="J423" s="2" t="s">
        <v>1581</v>
      </c>
      <c r="K423" s="2" t="s">
        <v>22</v>
      </c>
      <c r="L423" s="2" t="s">
        <v>193</v>
      </c>
      <c r="M423" s="3">
        <v>0</v>
      </c>
      <c r="N423" s="3">
        <v>1</v>
      </c>
      <c r="O423" s="9" t="s">
        <v>54</v>
      </c>
      <c r="P423" s="3">
        <v>0</v>
      </c>
    </row>
    <row r="424" spans="1:16" x14ac:dyDescent="0.3">
      <c r="A424" s="2" t="s">
        <v>1582</v>
      </c>
      <c r="B424" s="2" t="s">
        <v>1583</v>
      </c>
      <c r="C424" s="2" t="s">
        <v>18</v>
      </c>
      <c r="D424" s="5">
        <v>41.320033299999999</v>
      </c>
      <c r="E424" s="5">
        <v>36.282401700000001</v>
      </c>
      <c r="F424" s="2" t="s">
        <v>54</v>
      </c>
      <c r="G424" s="2" t="s">
        <v>259</v>
      </c>
      <c r="H424" s="2" t="s">
        <v>260</v>
      </c>
      <c r="I424" s="2" t="s">
        <v>260</v>
      </c>
      <c r="J424" s="2" t="s">
        <v>1584</v>
      </c>
      <c r="K424" s="2" t="s">
        <v>22</v>
      </c>
      <c r="L424" s="2" t="s">
        <v>23</v>
      </c>
      <c r="M424" s="3">
        <v>1</v>
      </c>
      <c r="N424" s="3">
        <v>1</v>
      </c>
      <c r="O424" s="9" t="s">
        <v>24</v>
      </c>
      <c r="P424" s="3">
        <v>0</v>
      </c>
    </row>
    <row r="425" spans="1:16" x14ac:dyDescent="0.3">
      <c r="A425" s="2" t="s">
        <v>1585</v>
      </c>
      <c r="B425" s="2" t="s">
        <v>1586</v>
      </c>
      <c r="C425" s="2" t="s">
        <v>18</v>
      </c>
      <c r="D425" s="5">
        <v>42.016165100000002</v>
      </c>
      <c r="E425" s="5">
        <v>35.125550799999999</v>
      </c>
      <c r="F425" s="2" t="s">
        <v>54</v>
      </c>
      <c r="G425" s="2" t="s">
        <v>259</v>
      </c>
      <c r="H425" s="2" t="s">
        <v>260</v>
      </c>
      <c r="I425" s="2" t="s">
        <v>260</v>
      </c>
      <c r="J425" s="2" t="s">
        <v>1587</v>
      </c>
      <c r="K425" s="2" t="s">
        <v>154</v>
      </c>
      <c r="L425" s="2" t="s">
        <v>155</v>
      </c>
      <c r="M425" s="3">
        <v>1</v>
      </c>
      <c r="N425" s="3">
        <v>1</v>
      </c>
      <c r="O425" s="9" t="s">
        <v>24</v>
      </c>
      <c r="P425" s="3">
        <v>0</v>
      </c>
    </row>
    <row r="426" spans="1:16" x14ac:dyDescent="0.3">
      <c r="A426" s="2" t="s">
        <v>1588</v>
      </c>
      <c r="B426" s="2" t="s">
        <v>1589</v>
      </c>
      <c r="C426" s="2" t="s">
        <v>18</v>
      </c>
      <c r="D426" s="5">
        <v>40.986957099999998</v>
      </c>
      <c r="E426" s="5">
        <v>36.632426899999999</v>
      </c>
      <c r="F426" s="2" t="s">
        <v>54</v>
      </c>
      <c r="G426" s="2" t="s">
        <v>259</v>
      </c>
      <c r="H426" s="2" t="s">
        <v>260</v>
      </c>
      <c r="I426" s="2" t="s">
        <v>260</v>
      </c>
      <c r="J426" s="2" t="s">
        <v>1590</v>
      </c>
      <c r="K426" s="2" t="s">
        <v>22</v>
      </c>
      <c r="L426" s="2" t="s">
        <v>145</v>
      </c>
      <c r="M426" s="3">
        <v>2</v>
      </c>
      <c r="N426" s="3">
        <v>1</v>
      </c>
      <c r="O426" s="9" t="s">
        <v>24</v>
      </c>
      <c r="P426" s="3">
        <v>0</v>
      </c>
    </row>
    <row r="427" spans="1:16" x14ac:dyDescent="0.3">
      <c r="A427" s="2" t="s">
        <v>1591</v>
      </c>
      <c r="B427" s="2" t="s">
        <v>1592</v>
      </c>
      <c r="C427" s="2" t="s">
        <v>18</v>
      </c>
      <c r="D427" s="5">
        <v>41.282140900000002</v>
      </c>
      <c r="E427" s="5">
        <v>36.306130400000001</v>
      </c>
      <c r="F427" s="2" t="s">
        <v>54</v>
      </c>
      <c r="G427" s="2" t="s">
        <v>259</v>
      </c>
      <c r="H427" s="2" t="s">
        <v>260</v>
      </c>
      <c r="I427" s="2" t="s">
        <v>260</v>
      </c>
      <c r="J427" s="2" t="s">
        <v>1593</v>
      </c>
      <c r="K427" s="2" t="s">
        <v>22</v>
      </c>
      <c r="L427" s="2" t="s">
        <v>32</v>
      </c>
      <c r="M427" s="3">
        <v>1</v>
      </c>
      <c r="N427" s="3">
        <v>1</v>
      </c>
      <c r="O427" s="9" t="s">
        <v>24</v>
      </c>
      <c r="P427" s="3">
        <v>0</v>
      </c>
    </row>
    <row r="428" spans="1:16" x14ac:dyDescent="0.3">
      <c r="A428" s="2" t="s">
        <v>1594</v>
      </c>
      <c r="B428" s="2" t="s">
        <v>1595</v>
      </c>
      <c r="C428" s="2" t="s">
        <v>18</v>
      </c>
      <c r="D428" s="5">
        <v>41.330558549099003</v>
      </c>
      <c r="E428" s="5">
        <v>36.278497987818</v>
      </c>
      <c r="F428" s="2" t="s">
        <v>54</v>
      </c>
      <c r="G428" s="2" t="s">
        <v>1596</v>
      </c>
      <c r="H428" s="2" t="s">
        <v>1596</v>
      </c>
      <c r="I428" s="2" t="s">
        <v>1596</v>
      </c>
      <c r="J428" s="2" t="s">
        <v>1597</v>
      </c>
      <c r="K428" s="2" t="s">
        <v>22</v>
      </c>
      <c r="L428" s="2" t="s">
        <v>23</v>
      </c>
      <c r="M428" s="3">
        <v>1</v>
      </c>
      <c r="N428" s="3">
        <v>1</v>
      </c>
      <c r="O428" s="9" t="s">
        <v>24</v>
      </c>
      <c r="P428" s="3">
        <v>0</v>
      </c>
    </row>
    <row r="429" spans="1:16" x14ac:dyDescent="0.3">
      <c r="A429" s="2" t="s">
        <v>1598</v>
      </c>
      <c r="B429" s="2" t="s">
        <v>1599</v>
      </c>
      <c r="C429" s="2" t="s">
        <v>18</v>
      </c>
      <c r="D429" s="5">
        <v>41.259759500000001</v>
      </c>
      <c r="E429" s="5">
        <v>36.326730400000002</v>
      </c>
      <c r="F429" s="2" t="s">
        <v>54</v>
      </c>
      <c r="G429" s="2" t="s">
        <v>259</v>
      </c>
      <c r="H429" s="2" t="s">
        <v>260</v>
      </c>
      <c r="I429" s="2" t="s">
        <v>260</v>
      </c>
      <c r="J429" s="2" t="s">
        <v>1600</v>
      </c>
      <c r="K429" s="2" t="s">
        <v>22</v>
      </c>
      <c r="L429" s="2" t="s">
        <v>32</v>
      </c>
      <c r="M429" s="3">
        <v>1</v>
      </c>
      <c r="N429" s="3">
        <v>1</v>
      </c>
      <c r="O429" s="9" t="s">
        <v>24</v>
      </c>
      <c r="P429" s="3">
        <v>0</v>
      </c>
    </row>
    <row r="430" spans="1:16" x14ac:dyDescent="0.3">
      <c r="A430" s="2" t="s">
        <v>1601</v>
      </c>
      <c r="B430" s="2" t="s">
        <v>1602</v>
      </c>
      <c r="C430" s="2" t="s">
        <v>18</v>
      </c>
      <c r="D430" s="5">
        <v>41.278072100000003</v>
      </c>
      <c r="E430" s="5">
        <v>36.340841699999999</v>
      </c>
      <c r="F430" s="2" t="s">
        <v>54</v>
      </c>
      <c r="G430" s="2" t="s">
        <v>259</v>
      </c>
      <c r="H430" s="2" t="s">
        <v>260</v>
      </c>
      <c r="I430" s="2" t="s">
        <v>260</v>
      </c>
      <c r="J430" s="2" t="s">
        <v>1603</v>
      </c>
      <c r="K430" s="2" t="s">
        <v>22</v>
      </c>
      <c r="L430" s="2" t="s">
        <v>32</v>
      </c>
      <c r="M430" s="3">
        <v>1</v>
      </c>
      <c r="N430" s="3">
        <v>1</v>
      </c>
      <c r="O430" s="9" t="s">
        <v>24</v>
      </c>
      <c r="P430" s="3">
        <v>0</v>
      </c>
    </row>
    <row r="431" spans="1:16" x14ac:dyDescent="0.3">
      <c r="A431" s="2" t="s">
        <v>1604</v>
      </c>
      <c r="B431" s="2" t="s">
        <v>1605</v>
      </c>
      <c r="C431" s="2" t="s">
        <v>18</v>
      </c>
      <c r="D431" s="5">
        <v>41.299168100000003</v>
      </c>
      <c r="E431" s="5">
        <v>36.321866300000003</v>
      </c>
      <c r="F431" s="2" t="s">
        <v>54</v>
      </c>
      <c r="G431" s="2" t="s">
        <v>259</v>
      </c>
      <c r="H431" s="2" t="s">
        <v>260</v>
      </c>
      <c r="I431" s="2" t="s">
        <v>260</v>
      </c>
      <c r="J431" s="2" t="s">
        <v>1606</v>
      </c>
      <c r="K431" s="2" t="s">
        <v>22</v>
      </c>
      <c r="L431" s="2" t="s">
        <v>32</v>
      </c>
      <c r="M431" s="3">
        <v>1</v>
      </c>
      <c r="N431" s="3">
        <v>1</v>
      </c>
      <c r="O431" s="9" t="s">
        <v>24</v>
      </c>
      <c r="P431" s="3">
        <v>0</v>
      </c>
    </row>
    <row r="432" spans="1:16" x14ac:dyDescent="0.3">
      <c r="A432" s="2" t="s">
        <v>1607</v>
      </c>
      <c r="B432" s="2" t="s">
        <v>1608</v>
      </c>
      <c r="C432" s="2" t="s">
        <v>18</v>
      </c>
      <c r="D432" s="5">
        <v>41.198869999999999</v>
      </c>
      <c r="E432" s="5">
        <v>36.713693300000003</v>
      </c>
      <c r="F432" s="2" t="s">
        <v>54</v>
      </c>
      <c r="G432" s="2" t="s">
        <v>259</v>
      </c>
      <c r="H432" s="2" t="s">
        <v>260</v>
      </c>
      <c r="I432" s="2" t="s">
        <v>260</v>
      </c>
      <c r="J432" s="2" t="s">
        <v>1609</v>
      </c>
      <c r="K432" s="2" t="s">
        <v>22</v>
      </c>
      <c r="L432" s="2" t="s">
        <v>44</v>
      </c>
      <c r="M432" s="3">
        <v>1</v>
      </c>
      <c r="N432" s="3">
        <v>1</v>
      </c>
      <c r="O432" s="9" t="s">
        <v>24</v>
      </c>
      <c r="P432" s="3">
        <v>0</v>
      </c>
    </row>
    <row r="433" spans="1:16" x14ac:dyDescent="0.3">
      <c r="A433" s="2" t="s">
        <v>1610</v>
      </c>
      <c r="B433" s="2" t="s">
        <v>1611</v>
      </c>
      <c r="C433" s="2" t="s">
        <v>18</v>
      </c>
      <c r="D433" s="5">
        <v>41.269526499999998</v>
      </c>
      <c r="E433" s="5">
        <v>36.296956600000001</v>
      </c>
      <c r="F433" s="2" t="s">
        <v>54</v>
      </c>
      <c r="G433" s="2" t="s">
        <v>259</v>
      </c>
      <c r="H433" s="2" t="s">
        <v>260</v>
      </c>
      <c r="I433" s="2" t="s">
        <v>260</v>
      </c>
      <c r="J433" s="2" t="s">
        <v>1612</v>
      </c>
      <c r="K433" s="2" t="s">
        <v>22</v>
      </c>
      <c r="L433" s="2" t="s">
        <v>32</v>
      </c>
      <c r="M433" s="3">
        <v>0</v>
      </c>
      <c r="N433" s="3">
        <v>1</v>
      </c>
      <c r="O433" s="9" t="s">
        <v>24</v>
      </c>
      <c r="P433" s="3">
        <v>0</v>
      </c>
    </row>
    <row r="434" spans="1:16" x14ac:dyDescent="0.3">
      <c r="A434" s="2" t="s">
        <v>1613</v>
      </c>
      <c r="B434" s="2" t="s">
        <v>1614</v>
      </c>
      <c r="C434" s="2" t="s">
        <v>18</v>
      </c>
      <c r="D434" s="5">
        <v>41.637015300000002</v>
      </c>
      <c r="E434" s="5">
        <v>36.011744399999998</v>
      </c>
      <c r="F434" s="2" t="s">
        <v>1615</v>
      </c>
      <c r="G434" s="2" t="s">
        <v>28</v>
      </c>
      <c r="H434" s="2" t="s">
        <v>29</v>
      </c>
      <c r="I434" s="2" t="s">
        <v>37</v>
      </c>
      <c r="J434" s="2" t="s">
        <v>1616</v>
      </c>
      <c r="K434" s="2" t="s">
        <v>22</v>
      </c>
      <c r="L434" s="2" t="s">
        <v>53</v>
      </c>
      <c r="M434" s="3">
        <v>1</v>
      </c>
      <c r="N434" s="3">
        <v>1</v>
      </c>
      <c r="O434" s="9" t="s">
        <v>24</v>
      </c>
      <c r="P434" s="3">
        <v>-1238.68</v>
      </c>
    </row>
    <row r="435" spans="1:16" x14ac:dyDescent="0.3">
      <c r="A435" s="2" t="s">
        <v>1617</v>
      </c>
      <c r="B435" s="2" t="s">
        <v>1618</v>
      </c>
      <c r="C435" s="2" t="s">
        <v>18</v>
      </c>
      <c r="D435" s="5">
        <v>41.250233199999997</v>
      </c>
      <c r="E435" s="5">
        <v>35.444256699999997</v>
      </c>
      <c r="F435" s="2" t="s">
        <v>1619</v>
      </c>
      <c r="G435" s="2" t="s">
        <v>28</v>
      </c>
      <c r="H435" s="2" t="s">
        <v>29</v>
      </c>
      <c r="I435" s="2" t="s">
        <v>37</v>
      </c>
      <c r="J435" s="2" t="s">
        <v>1620</v>
      </c>
      <c r="K435" s="2" t="s">
        <v>22</v>
      </c>
      <c r="L435" s="2" t="s">
        <v>164</v>
      </c>
      <c r="M435" s="3">
        <v>1</v>
      </c>
      <c r="N435" s="3">
        <v>1</v>
      </c>
      <c r="O435" s="9" t="s">
        <v>24</v>
      </c>
      <c r="P435" s="3">
        <v>0</v>
      </c>
    </row>
    <row r="436" spans="1:16" x14ac:dyDescent="0.3">
      <c r="A436" s="2" t="s">
        <v>1621</v>
      </c>
      <c r="B436" s="2" t="s">
        <v>1622</v>
      </c>
      <c r="C436" s="2" t="s">
        <v>18</v>
      </c>
      <c r="D436" s="5">
        <v>40.953870000000002</v>
      </c>
      <c r="E436" s="5">
        <v>36.558972099999998</v>
      </c>
      <c r="F436" s="2" t="s">
        <v>1623</v>
      </c>
      <c r="G436" s="2" t="s">
        <v>28</v>
      </c>
      <c r="H436" s="2" t="s">
        <v>36</v>
      </c>
      <c r="I436" s="2" t="s">
        <v>37</v>
      </c>
      <c r="J436" s="2" t="s">
        <v>1624</v>
      </c>
      <c r="K436" s="2" t="s">
        <v>22</v>
      </c>
      <c r="L436" s="2" t="s">
        <v>145</v>
      </c>
      <c r="M436" s="3">
        <v>0</v>
      </c>
      <c r="N436" s="3">
        <v>0</v>
      </c>
      <c r="O436" s="9" t="s">
        <v>24</v>
      </c>
      <c r="P436" s="3">
        <v>0</v>
      </c>
    </row>
    <row r="437" spans="1:16" x14ac:dyDescent="0.3">
      <c r="A437" s="2" t="s">
        <v>1625</v>
      </c>
      <c r="B437" s="2" t="s">
        <v>1626</v>
      </c>
      <c r="C437" s="2" t="s">
        <v>18</v>
      </c>
      <c r="D437" s="5">
        <v>41.2711714</v>
      </c>
      <c r="E437" s="5">
        <v>36.347618199999999</v>
      </c>
      <c r="F437" s="2" t="s">
        <v>1627</v>
      </c>
      <c r="G437" s="2" t="s">
        <v>28</v>
      </c>
      <c r="H437" s="2" t="s">
        <v>29</v>
      </c>
      <c r="I437" s="2" t="s">
        <v>30</v>
      </c>
      <c r="J437" s="2" t="s">
        <v>1628</v>
      </c>
      <c r="K437" s="2" t="s">
        <v>22</v>
      </c>
      <c r="L437" s="2" t="s">
        <v>99</v>
      </c>
      <c r="M437" s="3">
        <v>1</v>
      </c>
      <c r="N437" s="3">
        <v>1</v>
      </c>
      <c r="O437" s="9" t="s">
        <v>24</v>
      </c>
      <c r="P437" s="3">
        <v>0</v>
      </c>
    </row>
    <row r="438" spans="1:16" x14ac:dyDescent="0.3">
      <c r="A438" s="2" t="s">
        <v>1629</v>
      </c>
      <c r="B438" s="2" t="s">
        <v>1630</v>
      </c>
      <c r="C438" s="2" t="s">
        <v>18</v>
      </c>
      <c r="D438" s="5">
        <v>41.270872199999999</v>
      </c>
      <c r="E438" s="5">
        <v>36.314383300000003</v>
      </c>
      <c r="F438" s="2" t="s">
        <v>1631</v>
      </c>
      <c r="G438" s="2" t="s">
        <v>28</v>
      </c>
      <c r="H438" s="2" t="s">
        <v>29</v>
      </c>
      <c r="I438" s="2" t="s">
        <v>37</v>
      </c>
      <c r="J438" s="2" t="s">
        <v>1632</v>
      </c>
      <c r="K438" s="2" t="s">
        <v>22</v>
      </c>
      <c r="L438" s="2" t="s">
        <v>32</v>
      </c>
      <c r="M438" s="3">
        <v>1</v>
      </c>
      <c r="N438" s="3">
        <v>1</v>
      </c>
      <c r="O438" s="9" t="s">
        <v>24</v>
      </c>
      <c r="P438" s="3">
        <v>0</v>
      </c>
    </row>
    <row r="439" spans="1:16" x14ac:dyDescent="0.3">
      <c r="A439" s="2" t="s">
        <v>1633</v>
      </c>
      <c r="B439" s="2" t="s">
        <v>1634</v>
      </c>
      <c r="C439" s="2" t="s">
        <v>18</v>
      </c>
      <c r="D439" s="5">
        <v>41.263087499999997</v>
      </c>
      <c r="E439" s="5">
        <v>36.332430600000002</v>
      </c>
      <c r="F439" s="2" t="s">
        <v>54</v>
      </c>
      <c r="G439" s="2" t="s">
        <v>259</v>
      </c>
      <c r="H439" s="2" t="s">
        <v>260</v>
      </c>
      <c r="I439" s="2" t="s">
        <v>260</v>
      </c>
      <c r="J439" s="2" t="s">
        <v>1635</v>
      </c>
      <c r="K439" s="2" t="s">
        <v>22</v>
      </c>
      <c r="L439" s="2" t="s">
        <v>32</v>
      </c>
      <c r="M439" s="3">
        <v>1</v>
      </c>
      <c r="N439" s="3">
        <v>1</v>
      </c>
      <c r="O439" s="9" t="s">
        <v>24</v>
      </c>
      <c r="P439" s="3">
        <v>0</v>
      </c>
    </row>
    <row r="440" spans="1:16" x14ac:dyDescent="0.3">
      <c r="A440" s="2" t="s">
        <v>1636</v>
      </c>
      <c r="B440" s="2" t="s">
        <v>1637</v>
      </c>
      <c r="C440" s="2" t="s">
        <v>18</v>
      </c>
      <c r="D440" s="5">
        <v>41.561593999999999</v>
      </c>
      <c r="E440" s="5">
        <v>35.913694</v>
      </c>
      <c r="F440" s="2" t="s">
        <v>1638</v>
      </c>
      <c r="G440" s="2" t="s">
        <v>28</v>
      </c>
      <c r="H440" s="2" t="s">
        <v>29</v>
      </c>
      <c r="I440" s="2" t="s">
        <v>37</v>
      </c>
      <c r="J440" s="2" t="s">
        <v>1639</v>
      </c>
      <c r="K440" s="2" t="s">
        <v>22</v>
      </c>
      <c r="L440" s="2" t="s">
        <v>53</v>
      </c>
      <c r="M440" s="3">
        <v>1</v>
      </c>
      <c r="N440" s="3">
        <v>1</v>
      </c>
      <c r="O440" s="9" t="s">
        <v>54</v>
      </c>
      <c r="P440" s="3">
        <v>-804.24</v>
      </c>
    </row>
    <row r="441" spans="1:16" x14ac:dyDescent="0.3">
      <c r="A441" s="2" t="s">
        <v>1640</v>
      </c>
      <c r="B441" s="2" t="s">
        <v>1641</v>
      </c>
      <c r="C441" s="2" t="s">
        <v>18</v>
      </c>
      <c r="D441" s="5">
        <v>41.273452599999999</v>
      </c>
      <c r="E441" s="5">
        <v>36.334134800000001</v>
      </c>
      <c r="F441" s="2" t="s">
        <v>1642</v>
      </c>
      <c r="G441" s="2" t="s">
        <v>28</v>
      </c>
      <c r="H441" s="2" t="s">
        <v>29</v>
      </c>
      <c r="I441" s="2" t="s">
        <v>37</v>
      </c>
      <c r="J441" s="2" t="s">
        <v>1643</v>
      </c>
      <c r="K441" s="2" t="s">
        <v>22</v>
      </c>
      <c r="L441" s="2" t="s">
        <v>32</v>
      </c>
      <c r="M441" s="3">
        <v>0</v>
      </c>
      <c r="N441" s="3">
        <v>1</v>
      </c>
      <c r="O441" s="9" t="s">
        <v>24</v>
      </c>
      <c r="P441" s="3">
        <v>-245.03</v>
      </c>
    </row>
    <row r="442" spans="1:16" x14ac:dyDescent="0.3">
      <c r="A442" s="2" t="s">
        <v>1644</v>
      </c>
      <c r="B442" s="2" t="s">
        <v>1645</v>
      </c>
      <c r="C442" s="2" t="s">
        <v>18</v>
      </c>
      <c r="D442" s="5">
        <v>41.540385100000002</v>
      </c>
      <c r="E442" s="5">
        <v>35.9134405</v>
      </c>
      <c r="F442" s="2" t="s">
        <v>1646</v>
      </c>
      <c r="G442" s="2" t="s">
        <v>28</v>
      </c>
      <c r="H442" s="2" t="s">
        <v>29</v>
      </c>
      <c r="I442" s="2" t="s">
        <v>37</v>
      </c>
      <c r="J442" s="2" t="s">
        <v>1647</v>
      </c>
      <c r="K442" s="2" t="s">
        <v>22</v>
      </c>
      <c r="L442" s="2" t="s">
        <v>53</v>
      </c>
      <c r="M442" s="3">
        <v>1</v>
      </c>
      <c r="N442" s="3">
        <v>1</v>
      </c>
      <c r="O442" s="9" t="s">
        <v>24</v>
      </c>
      <c r="P442" s="3">
        <v>-0.26</v>
      </c>
    </row>
    <row r="443" spans="1:16" x14ac:dyDescent="0.3">
      <c r="A443" s="2" t="s">
        <v>1648</v>
      </c>
      <c r="B443" s="2" t="s">
        <v>1649</v>
      </c>
      <c r="C443" s="2" t="s">
        <v>18</v>
      </c>
      <c r="D443" s="5">
        <v>41.286914299999999</v>
      </c>
      <c r="E443" s="5">
        <v>36.312570700000002</v>
      </c>
      <c r="F443" s="2" t="s">
        <v>1650</v>
      </c>
      <c r="G443" s="2" t="s">
        <v>28</v>
      </c>
      <c r="H443" s="2" t="s">
        <v>29</v>
      </c>
      <c r="I443" s="2" t="s">
        <v>37</v>
      </c>
      <c r="J443" s="2" t="s">
        <v>1651</v>
      </c>
      <c r="K443" s="2" t="s">
        <v>22</v>
      </c>
      <c r="L443" s="2" t="s">
        <v>32</v>
      </c>
      <c r="M443" s="3">
        <v>0</v>
      </c>
      <c r="N443" s="3">
        <v>1</v>
      </c>
      <c r="O443" s="9" t="s">
        <v>24</v>
      </c>
      <c r="P443" s="3">
        <v>0</v>
      </c>
    </row>
    <row r="444" spans="1:16" x14ac:dyDescent="0.3">
      <c r="A444" s="2" t="s">
        <v>1652</v>
      </c>
      <c r="B444" s="2" t="s">
        <v>1653</v>
      </c>
      <c r="C444" s="2" t="s">
        <v>18</v>
      </c>
      <c r="D444" s="5">
        <v>41.292692899999999</v>
      </c>
      <c r="E444" s="5">
        <v>36.256417499999998</v>
      </c>
      <c r="F444" s="2" t="s">
        <v>1654</v>
      </c>
      <c r="G444" s="2" t="s">
        <v>28</v>
      </c>
      <c r="H444" s="2" t="s">
        <v>36</v>
      </c>
      <c r="I444" s="2" t="s">
        <v>37</v>
      </c>
      <c r="J444" s="2" t="s">
        <v>1655</v>
      </c>
      <c r="K444" s="2" t="s">
        <v>22</v>
      </c>
      <c r="L444" s="2" t="s">
        <v>32</v>
      </c>
      <c r="M444" s="3">
        <v>2</v>
      </c>
      <c r="N444" s="3">
        <v>1</v>
      </c>
      <c r="O444" s="9" t="s">
        <v>24</v>
      </c>
      <c r="P444" s="3">
        <v>-2630.99</v>
      </c>
    </row>
    <row r="445" spans="1:16" x14ac:dyDescent="0.3">
      <c r="A445" s="2" t="s">
        <v>1656</v>
      </c>
      <c r="B445" s="2" t="s">
        <v>1657</v>
      </c>
      <c r="C445" s="2" t="s">
        <v>18</v>
      </c>
      <c r="D445" s="5">
        <v>41.063423200000003</v>
      </c>
      <c r="E445" s="5">
        <v>35.478901</v>
      </c>
      <c r="F445" s="2" t="s">
        <v>1658</v>
      </c>
      <c r="G445" s="2" t="s">
        <v>28</v>
      </c>
      <c r="H445" s="2" t="s">
        <v>29</v>
      </c>
      <c r="I445" s="2" t="s">
        <v>37</v>
      </c>
      <c r="J445" s="2" t="s">
        <v>1659</v>
      </c>
      <c r="K445" s="2" t="s">
        <v>22</v>
      </c>
      <c r="L445" s="2" t="s">
        <v>164</v>
      </c>
      <c r="M445" s="3">
        <v>1</v>
      </c>
      <c r="N445" s="3">
        <v>1</v>
      </c>
      <c r="O445" s="9" t="s">
        <v>24</v>
      </c>
      <c r="P445" s="3">
        <v>0</v>
      </c>
    </row>
    <row r="446" spans="1:16" x14ac:dyDescent="0.3">
      <c r="A446" s="2" t="s">
        <v>1660</v>
      </c>
      <c r="B446" s="2" t="s">
        <v>1661</v>
      </c>
      <c r="C446" s="2" t="s">
        <v>18</v>
      </c>
      <c r="D446" s="5">
        <v>41.122414399999997</v>
      </c>
      <c r="E446" s="5">
        <v>37.294441499999998</v>
      </c>
      <c r="F446" s="2" t="s">
        <v>54</v>
      </c>
      <c r="G446" s="2" t="s">
        <v>259</v>
      </c>
      <c r="H446" s="2" t="s">
        <v>260</v>
      </c>
      <c r="I446" s="2" t="s">
        <v>260</v>
      </c>
      <c r="J446" s="2" t="s">
        <v>1662</v>
      </c>
      <c r="K446" s="2" t="s">
        <v>63</v>
      </c>
      <c r="L446" s="2" t="s">
        <v>89</v>
      </c>
      <c r="M446" s="3">
        <v>1</v>
      </c>
      <c r="N446" s="3">
        <v>1</v>
      </c>
      <c r="O446" s="9" t="s">
        <v>24</v>
      </c>
      <c r="P446" s="3">
        <v>0</v>
      </c>
    </row>
    <row r="447" spans="1:16" x14ac:dyDescent="0.3">
      <c r="A447" s="2" t="s">
        <v>1663</v>
      </c>
      <c r="B447" s="2" t="s">
        <v>1664</v>
      </c>
      <c r="C447" s="2" t="s">
        <v>18</v>
      </c>
      <c r="D447" s="5">
        <v>41.285038700000001</v>
      </c>
      <c r="E447" s="5">
        <v>36.295753699999999</v>
      </c>
      <c r="F447" s="2" t="s">
        <v>54</v>
      </c>
      <c r="G447" s="2" t="s">
        <v>259</v>
      </c>
      <c r="H447" s="2" t="s">
        <v>260</v>
      </c>
      <c r="I447" s="2" t="s">
        <v>260</v>
      </c>
      <c r="J447" s="2" t="s">
        <v>1665</v>
      </c>
      <c r="K447" s="2" t="s">
        <v>22</v>
      </c>
      <c r="L447" s="2" t="s">
        <v>32</v>
      </c>
      <c r="M447" s="3">
        <v>1</v>
      </c>
      <c r="N447" s="3">
        <v>1</v>
      </c>
      <c r="O447" s="9" t="s">
        <v>24</v>
      </c>
      <c r="P447" s="3">
        <v>0</v>
      </c>
    </row>
    <row r="448" spans="1:16" x14ac:dyDescent="0.3">
      <c r="A448" s="2" t="s">
        <v>1666</v>
      </c>
      <c r="B448" s="2" t="s">
        <v>1667</v>
      </c>
      <c r="C448" s="2" t="s">
        <v>18</v>
      </c>
      <c r="D448" s="5">
        <v>41.255903199999999</v>
      </c>
      <c r="E448" s="5">
        <v>36.366044799999997</v>
      </c>
      <c r="F448" s="2" t="s">
        <v>54</v>
      </c>
      <c r="G448" s="2" t="s">
        <v>259</v>
      </c>
      <c r="H448" s="2" t="s">
        <v>260</v>
      </c>
      <c r="I448" s="2" t="s">
        <v>260</v>
      </c>
      <c r="J448" s="2" t="s">
        <v>1668</v>
      </c>
      <c r="K448" s="2" t="s">
        <v>22</v>
      </c>
      <c r="L448" s="2" t="s">
        <v>99</v>
      </c>
      <c r="M448" s="3">
        <v>1</v>
      </c>
      <c r="N448" s="3">
        <v>1</v>
      </c>
      <c r="O448" s="9" t="s">
        <v>24</v>
      </c>
      <c r="P448" s="3">
        <v>0</v>
      </c>
    </row>
    <row r="449" spans="1:16" x14ac:dyDescent="0.3">
      <c r="A449" s="2" t="s">
        <v>1669</v>
      </c>
      <c r="B449" s="2" t="s">
        <v>1670</v>
      </c>
      <c r="C449" s="2" t="s">
        <v>18</v>
      </c>
      <c r="D449" s="5">
        <v>41.205792500000001</v>
      </c>
      <c r="E449" s="5">
        <v>36.703690000000002</v>
      </c>
      <c r="F449" s="2" t="s">
        <v>1671</v>
      </c>
      <c r="G449" s="2" t="s">
        <v>28</v>
      </c>
      <c r="H449" s="2" t="s">
        <v>682</v>
      </c>
      <c r="I449" s="2" t="s">
        <v>30</v>
      </c>
      <c r="J449" s="2" t="s">
        <v>1672</v>
      </c>
      <c r="K449" s="2" t="s">
        <v>22</v>
      </c>
      <c r="L449" s="2" t="s">
        <v>44</v>
      </c>
      <c r="M449" s="3">
        <v>2</v>
      </c>
      <c r="N449" s="3">
        <v>1</v>
      </c>
      <c r="O449" s="9" t="s">
        <v>54</v>
      </c>
      <c r="P449" s="3">
        <v>-18.149999999999999</v>
      </c>
    </row>
    <row r="450" spans="1:16" x14ac:dyDescent="0.3">
      <c r="A450" s="2" t="s">
        <v>1673</v>
      </c>
      <c r="B450" s="2" t="s">
        <v>1674</v>
      </c>
      <c r="C450" s="2" t="s">
        <v>18</v>
      </c>
      <c r="D450" s="5">
        <v>41.218081400000003</v>
      </c>
      <c r="E450" s="5">
        <v>36.642278699999999</v>
      </c>
      <c r="F450" s="2" t="s">
        <v>1671</v>
      </c>
      <c r="G450" s="2" t="s">
        <v>28</v>
      </c>
      <c r="H450" s="2" t="s">
        <v>682</v>
      </c>
      <c r="I450" s="2" t="s">
        <v>30</v>
      </c>
      <c r="J450" s="2" t="s">
        <v>1675</v>
      </c>
      <c r="K450" s="2" t="s">
        <v>22</v>
      </c>
      <c r="L450" s="2" t="s">
        <v>44</v>
      </c>
      <c r="M450" s="3">
        <v>1</v>
      </c>
      <c r="N450" s="3">
        <v>1</v>
      </c>
      <c r="O450" s="9" t="s">
        <v>24</v>
      </c>
      <c r="P450" s="3">
        <v>-3564.62</v>
      </c>
    </row>
    <row r="451" spans="1:16" x14ac:dyDescent="0.3">
      <c r="A451" s="2" t="s">
        <v>1676</v>
      </c>
      <c r="B451" s="2" t="s">
        <v>1677</v>
      </c>
      <c r="C451" s="2" t="s">
        <v>18</v>
      </c>
      <c r="D451" s="5">
        <v>41.110080099999998</v>
      </c>
      <c r="E451" s="5">
        <v>36.482945299999997</v>
      </c>
      <c r="F451" s="2" t="s">
        <v>1678</v>
      </c>
      <c r="G451" s="2" t="s">
        <v>28</v>
      </c>
      <c r="H451" s="2" t="s">
        <v>29</v>
      </c>
      <c r="I451" s="2" t="s">
        <v>37</v>
      </c>
      <c r="J451" s="2" t="s">
        <v>1679</v>
      </c>
      <c r="K451" s="2" t="s">
        <v>22</v>
      </c>
      <c r="L451" s="2" t="s">
        <v>39</v>
      </c>
      <c r="M451" s="3">
        <v>3</v>
      </c>
      <c r="N451" s="3">
        <v>1</v>
      </c>
      <c r="O451" s="9" t="s">
        <v>24</v>
      </c>
      <c r="P451" s="3">
        <v>-0.75</v>
      </c>
    </row>
    <row r="452" spans="1:16" x14ac:dyDescent="0.3">
      <c r="A452" s="2" t="s">
        <v>1680</v>
      </c>
      <c r="B452" s="2" t="s">
        <v>1681</v>
      </c>
      <c r="C452" s="2" t="s">
        <v>18</v>
      </c>
      <c r="D452" s="5">
        <v>41.326083300000001</v>
      </c>
      <c r="E452" s="5">
        <v>36.2937467</v>
      </c>
      <c r="F452" s="2" t="s">
        <v>54</v>
      </c>
      <c r="G452" s="2" t="s">
        <v>259</v>
      </c>
      <c r="H452" s="2" t="s">
        <v>260</v>
      </c>
      <c r="I452" s="2" t="s">
        <v>260</v>
      </c>
      <c r="J452" s="2" t="s">
        <v>1682</v>
      </c>
      <c r="K452" s="2" t="s">
        <v>22</v>
      </c>
      <c r="L452" s="2" t="s">
        <v>23</v>
      </c>
      <c r="M452" s="3">
        <v>1</v>
      </c>
      <c r="N452" s="3">
        <v>1</v>
      </c>
      <c r="O452" s="9" t="s">
        <v>24</v>
      </c>
      <c r="P452" s="3">
        <v>0</v>
      </c>
    </row>
    <row r="453" spans="1:16" x14ac:dyDescent="0.3">
      <c r="A453" s="2" t="s">
        <v>1683</v>
      </c>
      <c r="B453" s="2" t="s">
        <v>1684</v>
      </c>
      <c r="C453" s="2" t="s">
        <v>18</v>
      </c>
      <c r="D453" s="5">
        <v>41.308254941000001</v>
      </c>
      <c r="E453" s="5">
        <v>36.278049877800001</v>
      </c>
      <c r="F453" s="2" t="s">
        <v>54</v>
      </c>
      <c r="G453" s="2" t="s">
        <v>19</v>
      </c>
      <c r="H453" s="2" t="s">
        <v>20</v>
      </c>
      <c r="I453" s="2" t="s">
        <v>19</v>
      </c>
      <c r="J453" s="2" t="s">
        <v>1685</v>
      </c>
      <c r="K453" s="2" t="s">
        <v>22</v>
      </c>
      <c r="L453" s="2" t="s">
        <v>23</v>
      </c>
      <c r="M453" s="3">
        <v>1</v>
      </c>
      <c r="N453" s="3">
        <v>1</v>
      </c>
      <c r="O453" s="9" t="s">
        <v>24</v>
      </c>
      <c r="P453" s="3">
        <v>0</v>
      </c>
    </row>
    <row r="454" spans="1:16" x14ac:dyDescent="0.3">
      <c r="A454" s="2" t="s">
        <v>1686</v>
      </c>
      <c r="B454" s="2" t="s">
        <v>1687</v>
      </c>
      <c r="C454" s="2" t="s">
        <v>18</v>
      </c>
      <c r="D454" s="5">
        <v>41.519271699999997</v>
      </c>
      <c r="E454" s="5">
        <v>35.9053617</v>
      </c>
      <c r="F454" s="2" t="s">
        <v>54</v>
      </c>
      <c r="G454" s="2" t="s">
        <v>221</v>
      </c>
      <c r="H454" s="2" t="s">
        <v>1688</v>
      </c>
      <c r="I454" s="2" t="s">
        <v>1688</v>
      </c>
      <c r="J454" s="2" t="s">
        <v>1689</v>
      </c>
      <c r="K454" s="2" t="s">
        <v>22</v>
      </c>
      <c r="L454" s="2" t="s">
        <v>53</v>
      </c>
      <c r="M454" s="3">
        <v>0</v>
      </c>
      <c r="N454" s="3">
        <v>1</v>
      </c>
      <c r="O454" s="9" t="s">
        <v>24</v>
      </c>
      <c r="P454" s="3">
        <v>0</v>
      </c>
    </row>
    <row r="455" spans="1:16" x14ac:dyDescent="0.3">
      <c r="A455" s="2" t="s">
        <v>1690</v>
      </c>
      <c r="B455" s="2" t="s">
        <v>1691</v>
      </c>
      <c r="C455" s="2" t="s">
        <v>18</v>
      </c>
      <c r="D455" s="5">
        <v>41.278507300000001</v>
      </c>
      <c r="E455" s="5">
        <v>36.348427700000002</v>
      </c>
      <c r="F455" s="2" t="s">
        <v>54</v>
      </c>
      <c r="G455" s="2" t="s">
        <v>221</v>
      </c>
      <c r="H455" s="2" t="s">
        <v>1688</v>
      </c>
      <c r="I455" s="2" t="s">
        <v>1688</v>
      </c>
      <c r="J455" s="2" t="s">
        <v>1692</v>
      </c>
      <c r="K455" s="2" t="s">
        <v>22</v>
      </c>
      <c r="L455" s="2" t="s">
        <v>32</v>
      </c>
      <c r="M455" s="3">
        <v>1</v>
      </c>
      <c r="N455" s="3">
        <v>1</v>
      </c>
      <c r="O455" s="9" t="s">
        <v>24</v>
      </c>
      <c r="P455" s="3">
        <v>0</v>
      </c>
    </row>
    <row r="456" spans="1:16" x14ac:dyDescent="0.3">
      <c r="A456" s="2" t="s">
        <v>1693</v>
      </c>
      <c r="B456" s="2" t="s">
        <v>1694</v>
      </c>
      <c r="C456" s="2" t="s">
        <v>18</v>
      </c>
      <c r="D456" s="5">
        <v>41.259538599999999</v>
      </c>
      <c r="E456" s="5">
        <v>36.234641099999997</v>
      </c>
      <c r="F456" s="2" t="s">
        <v>54</v>
      </c>
      <c r="G456" s="2" t="s">
        <v>221</v>
      </c>
      <c r="H456" s="2" t="s">
        <v>1688</v>
      </c>
      <c r="I456" s="2" t="s">
        <v>1688</v>
      </c>
      <c r="J456" s="2" t="s">
        <v>1695</v>
      </c>
      <c r="K456" s="2" t="s">
        <v>22</v>
      </c>
      <c r="L456" s="2" t="s">
        <v>32</v>
      </c>
      <c r="M456" s="3">
        <v>0</v>
      </c>
      <c r="N456" s="3">
        <v>0</v>
      </c>
      <c r="O456" s="9" t="s">
        <v>24</v>
      </c>
      <c r="P456" s="3">
        <v>0</v>
      </c>
    </row>
    <row r="457" spans="1:16" x14ac:dyDescent="0.3">
      <c r="A457" s="2" t="s">
        <v>1696</v>
      </c>
      <c r="B457" s="2" t="s">
        <v>1697</v>
      </c>
      <c r="C457" s="2" t="s">
        <v>18</v>
      </c>
      <c r="D457" s="5">
        <v>41.25956</v>
      </c>
      <c r="E457" s="5">
        <v>36.234611700000002</v>
      </c>
      <c r="F457" s="2" t="s">
        <v>54</v>
      </c>
      <c r="G457" s="2" t="s">
        <v>221</v>
      </c>
      <c r="H457" s="2" t="s">
        <v>1688</v>
      </c>
      <c r="I457" s="2" t="s">
        <v>1688</v>
      </c>
      <c r="J457" s="2" t="s">
        <v>1698</v>
      </c>
      <c r="K457" s="2" t="s">
        <v>22</v>
      </c>
      <c r="L457" s="2" t="s">
        <v>32</v>
      </c>
      <c r="M457" s="3">
        <v>0</v>
      </c>
      <c r="N457" s="3">
        <v>0</v>
      </c>
      <c r="O457" s="9" t="s">
        <v>24</v>
      </c>
      <c r="P457" s="3">
        <v>0</v>
      </c>
    </row>
    <row r="458" spans="1:16" x14ac:dyDescent="0.3">
      <c r="A458" s="2" t="s">
        <v>1699</v>
      </c>
      <c r="B458" s="2" t="s">
        <v>1700</v>
      </c>
      <c r="C458" s="2" t="s">
        <v>18</v>
      </c>
      <c r="D458" s="5">
        <v>41.134929999999997</v>
      </c>
      <c r="E458" s="5">
        <v>36.770083300000003</v>
      </c>
      <c r="F458" s="2" t="s">
        <v>54</v>
      </c>
      <c r="G458" s="2" t="s">
        <v>221</v>
      </c>
      <c r="H458" s="2" t="s">
        <v>1688</v>
      </c>
      <c r="I458" s="2" t="s">
        <v>1688</v>
      </c>
      <c r="J458" s="2" t="s">
        <v>1701</v>
      </c>
      <c r="K458" s="2" t="s">
        <v>22</v>
      </c>
      <c r="L458" s="2" t="s">
        <v>44</v>
      </c>
      <c r="M458" s="3">
        <v>2</v>
      </c>
      <c r="N458" s="3">
        <v>1</v>
      </c>
      <c r="O458" s="9" t="s">
        <v>24</v>
      </c>
      <c r="P458" s="3">
        <v>0</v>
      </c>
    </row>
    <row r="459" spans="1:16" x14ac:dyDescent="0.3">
      <c r="A459" s="2" t="s">
        <v>1702</v>
      </c>
      <c r="B459" s="2" t="s">
        <v>1703</v>
      </c>
      <c r="C459" s="2" t="s">
        <v>18</v>
      </c>
      <c r="D459" s="5">
        <v>41.880008599999996</v>
      </c>
      <c r="E459" s="5">
        <v>35.0602935</v>
      </c>
      <c r="F459" s="2" t="s">
        <v>1704</v>
      </c>
      <c r="G459" s="2" t="s">
        <v>28</v>
      </c>
      <c r="H459" s="2" t="s">
        <v>29</v>
      </c>
      <c r="I459" s="2" t="s">
        <v>37</v>
      </c>
      <c r="J459" s="2" t="s">
        <v>1705</v>
      </c>
      <c r="K459" s="2" t="s">
        <v>154</v>
      </c>
      <c r="L459" s="2" t="s">
        <v>155</v>
      </c>
      <c r="M459" s="3">
        <v>1</v>
      </c>
      <c r="N459" s="3">
        <v>1</v>
      </c>
      <c r="O459" s="9" t="s">
        <v>24</v>
      </c>
      <c r="P459" s="3">
        <v>0</v>
      </c>
    </row>
    <row r="460" spans="1:16" x14ac:dyDescent="0.3">
      <c r="A460" s="2" t="s">
        <v>1706</v>
      </c>
      <c r="B460" s="2" t="s">
        <v>1707</v>
      </c>
      <c r="C460" s="2" t="s">
        <v>18</v>
      </c>
      <c r="D460" s="5">
        <v>41.428526400000003</v>
      </c>
      <c r="E460" s="5">
        <v>36.154602500000003</v>
      </c>
      <c r="F460" s="2" t="s">
        <v>54</v>
      </c>
      <c r="G460" s="2" t="s">
        <v>259</v>
      </c>
      <c r="H460" s="2" t="s">
        <v>260</v>
      </c>
      <c r="I460" s="2" t="s">
        <v>260</v>
      </c>
      <c r="J460" s="2" t="s">
        <v>1708</v>
      </c>
      <c r="K460" s="2" t="s">
        <v>22</v>
      </c>
      <c r="L460" s="2" t="s">
        <v>23</v>
      </c>
      <c r="M460" s="3">
        <v>1</v>
      </c>
      <c r="N460" s="3">
        <v>1</v>
      </c>
      <c r="O460" s="9" t="s">
        <v>24</v>
      </c>
      <c r="P460" s="3">
        <v>0</v>
      </c>
    </row>
    <row r="461" spans="1:16" x14ac:dyDescent="0.3">
      <c r="A461" s="2" t="s">
        <v>1709</v>
      </c>
      <c r="B461" s="2" t="s">
        <v>1710</v>
      </c>
      <c r="C461" s="2" t="s">
        <v>18</v>
      </c>
      <c r="D461" s="5">
        <v>40.965545900000002</v>
      </c>
      <c r="E461" s="5">
        <v>35.6707994</v>
      </c>
      <c r="F461" s="2" t="s">
        <v>54</v>
      </c>
      <c r="G461" s="2" t="s">
        <v>259</v>
      </c>
      <c r="H461" s="2" t="s">
        <v>260</v>
      </c>
      <c r="I461" s="2" t="s">
        <v>260</v>
      </c>
      <c r="J461" s="2" t="s">
        <v>1711</v>
      </c>
      <c r="K461" s="2" t="s">
        <v>22</v>
      </c>
      <c r="L461" s="2" t="s">
        <v>193</v>
      </c>
      <c r="M461" s="3">
        <v>0</v>
      </c>
      <c r="N461" s="3">
        <v>1</v>
      </c>
      <c r="O461" s="9" t="s">
        <v>24</v>
      </c>
      <c r="P461" s="3">
        <v>0</v>
      </c>
    </row>
    <row r="462" spans="1:16" x14ac:dyDescent="0.3">
      <c r="A462" s="2" t="s">
        <v>1712</v>
      </c>
      <c r="B462" s="2" t="s">
        <v>1713</v>
      </c>
      <c r="C462" s="2" t="s">
        <v>18</v>
      </c>
      <c r="D462" s="5">
        <v>41.2637067</v>
      </c>
      <c r="E462" s="5">
        <v>36.3374782</v>
      </c>
      <c r="F462" s="2" t="s">
        <v>54</v>
      </c>
      <c r="G462" s="2" t="s">
        <v>259</v>
      </c>
      <c r="H462" s="2" t="s">
        <v>260</v>
      </c>
      <c r="I462" s="2" t="s">
        <v>260</v>
      </c>
      <c r="J462" s="2" t="s">
        <v>1714</v>
      </c>
      <c r="K462" s="2" t="s">
        <v>22</v>
      </c>
      <c r="L462" s="2" t="s">
        <v>32</v>
      </c>
      <c r="M462" s="3">
        <v>1</v>
      </c>
      <c r="N462" s="3">
        <v>1</v>
      </c>
      <c r="O462" s="9" t="s">
        <v>24</v>
      </c>
      <c r="P462" s="3">
        <v>0</v>
      </c>
    </row>
    <row r="463" spans="1:16" x14ac:dyDescent="0.3">
      <c r="A463" s="2" t="s">
        <v>1715</v>
      </c>
      <c r="B463" s="2" t="s">
        <v>1716</v>
      </c>
      <c r="C463" s="2" t="s">
        <v>18</v>
      </c>
      <c r="D463" s="5">
        <v>41.519215299999999</v>
      </c>
      <c r="E463" s="5">
        <v>35.905438699999998</v>
      </c>
      <c r="F463" s="2" t="s">
        <v>54</v>
      </c>
      <c r="G463" s="2" t="s">
        <v>221</v>
      </c>
      <c r="H463" s="2" t="s">
        <v>1688</v>
      </c>
      <c r="I463" s="2" t="s">
        <v>1688</v>
      </c>
      <c r="J463" s="2" t="s">
        <v>1717</v>
      </c>
      <c r="K463" s="2" t="s">
        <v>22</v>
      </c>
      <c r="L463" s="2" t="s">
        <v>53</v>
      </c>
      <c r="M463" s="3">
        <v>5</v>
      </c>
      <c r="N463" s="3">
        <v>1</v>
      </c>
      <c r="O463" s="9" t="s">
        <v>24</v>
      </c>
      <c r="P463" s="3">
        <v>0</v>
      </c>
    </row>
    <row r="464" spans="1:16" x14ac:dyDescent="0.3">
      <c r="A464" s="2" t="s">
        <v>1718</v>
      </c>
      <c r="B464" s="2" t="s">
        <v>1719</v>
      </c>
      <c r="C464" s="2" t="s">
        <v>18</v>
      </c>
      <c r="D464" s="5">
        <v>41.257419900000002</v>
      </c>
      <c r="E464" s="5">
        <v>36.361447599999998</v>
      </c>
      <c r="F464" s="2" t="s">
        <v>1720</v>
      </c>
      <c r="G464" s="2" t="s">
        <v>28</v>
      </c>
      <c r="H464" s="2" t="s">
        <v>36</v>
      </c>
      <c r="I464" s="2" t="s">
        <v>37</v>
      </c>
      <c r="J464" s="2" t="s">
        <v>1721</v>
      </c>
      <c r="K464" s="2" t="s">
        <v>22</v>
      </c>
      <c r="L464" s="2" t="s">
        <v>99</v>
      </c>
      <c r="M464" s="3">
        <v>2</v>
      </c>
      <c r="N464" s="3">
        <v>1</v>
      </c>
      <c r="O464" s="9" t="s">
        <v>24</v>
      </c>
      <c r="P464" s="3">
        <v>-0.01</v>
      </c>
    </row>
    <row r="465" spans="1:16" x14ac:dyDescent="0.3">
      <c r="A465" s="2" t="s">
        <v>1722</v>
      </c>
      <c r="B465" s="2" t="s">
        <v>1723</v>
      </c>
      <c r="C465" s="2" t="s">
        <v>18</v>
      </c>
      <c r="D465" s="5">
        <v>41.22025</v>
      </c>
      <c r="E465" s="5">
        <v>36.456069999999997</v>
      </c>
      <c r="F465" s="2" t="s">
        <v>1724</v>
      </c>
      <c r="G465" s="2" t="s">
        <v>28</v>
      </c>
      <c r="H465" s="2" t="s">
        <v>318</v>
      </c>
      <c r="I465" s="2" t="s">
        <v>1725</v>
      </c>
      <c r="J465" s="2" t="s">
        <v>1726</v>
      </c>
      <c r="K465" s="2" t="s">
        <v>22</v>
      </c>
      <c r="L465" s="2" t="s">
        <v>39</v>
      </c>
      <c r="M465" s="3">
        <v>0</v>
      </c>
      <c r="N465" s="3">
        <v>1</v>
      </c>
      <c r="O465" s="9" t="s">
        <v>54</v>
      </c>
      <c r="P465" s="3">
        <v>0</v>
      </c>
    </row>
    <row r="466" spans="1:16" x14ac:dyDescent="0.3">
      <c r="A466" s="2" t="s">
        <v>1727</v>
      </c>
      <c r="B466" s="2" t="s">
        <v>1728</v>
      </c>
      <c r="C466" s="2" t="s">
        <v>18</v>
      </c>
      <c r="D466" s="5">
        <v>41.095998299999998</v>
      </c>
      <c r="E466" s="5">
        <v>35.3805209</v>
      </c>
      <c r="F466" s="2" t="s">
        <v>1729</v>
      </c>
      <c r="G466" s="2" t="s">
        <v>28</v>
      </c>
      <c r="H466" s="2" t="s">
        <v>29</v>
      </c>
      <c r="I466" s="2" t="s">
        <v>37</v>
      </c>
      <c r="J466" s="2" t="s">
        <v>1730</v>
      </c>
      <c r="K466" s="2" t="s">
        <v>22</v>
      </c>
      <c r="L466" s="2" t="s">
        <v>164</v>
      </c>
      <c r="M466" s="3">
        <v>0</v>
      </c>
      <c r="N466" s="3">
        <v>0</v>
      </c>
      <c r="O466" s="9" t="s">
        <v>24</v>
      </c>
      <c r="P466" s="3">
        <v>0</v>
      </c>
    </row>
    <row r="467" spans="1:16" x14ac:dyDescent="0.3">
      <c r="A467" s="2" t="s">
        <v>1731</v>
      </c>
      <c r="B467" s="2" t="s">
        <v>1732</v>
      </c>
      <c r="C467" s="2" t="s">
        <v>18</v>
      </c>
      <c r="D467" s="5">
        <v>41.102332500000003</v>
      </c>
      <c r="E467" s="5">
        <v>37.374281099999997</v>
      </c>
      <c r="F467" s="2" t="s">
        <v>54</v>
      </c>
      <c r="G467" s="2" t="s">
        <v>221</v>
      </c>
      <c r="H467" s="2" t="s">
        <v>1688</v>
      </c>
      <c r="I467" s="2" t="s">
        <v>1688</v>
      </c>
      <c r="J467" s="2" t="s">
        <v>1733</v>
      </c>
      <c r="K467" s="2" t="s">
        <v>63</v>
      </c>
      <c r="L467" s="2" t="s">
        <v>89</v>
      </c>
      <c r="M467" s="3">
        <v>3</v>
      </c>
      <c r="N467" s="3">
        <v>1</v>
      </c>
      <c r="O467" s="9" t="s">
        <v>24</v>
      </c>
      <c r="P467" s="3">
        <v>0</v>
      </c>
    </row>
    <row r="468" spans="1:16" x14ac:dyDescent="0.3">
      <c r="A468" s="2" t="s">
        <v>1734</v>
      </c>
      <c r="B468" s="2" t="s">
        <v>1735</v>
      </c>
      <c r="C468" s="2" t="s">
        <v>18</v>
      </c>
      <c r="D468" s="5">
        <v>41.565508999999999</v>
      </c>
      <c r="E468" s="5">
        <v>35.9223748</v>
      </c>
      <c r="F468" s="2" t="s">
        <v>1736</v>
      </c>
      <c r="G468" s="2" t="s">
        <v>28</v>
      </c>
      <c r="H468" s="2" t="s">
        <v>29</v>
      </c>
      <c r="I468" s="2" t="s">
        <v>37</v>
      </c>
      <c r="J468" s="2" t="s">
        <v>1737</v>
      </c>
      <c r="K468" s="2" t="s">
        <v>22</v>
      </c>
      <c r="L468" s="2" t="s">
        <v>53</v>
      </c>
      <c r="M468" s="3">
        <v>1</v>
      </c>
      <c r="N468" s="3">
        <v>1</v>
      </c>
      <c r="O468" s="9" t="s">
        <v>54</v>
      </c>
      <c r="P468" s="3">
        <v>-861.39</v>
      </c>
    </row>
    <row r="469" spans="1:16" x14ac:dyDescent="0.3">
      <c r="A469" s="2" t="s">
        <v>1738</v>
      </c>
      <c r="B469" s="2" t="s">
        <v>1739</v>
      </c>
      <c r="C469" s="2" t="s">
        <v>18</v>
      </c>
      <c r="D469" s="5">
        <v>41.378812099999998</v>
      </c>
      <c r="E469" s="5">
        <v>36.219292000000003</v>
      </c>
      <c r="F469" s="2" t="s">
        <v>1740</v>
      </c>
      <c r="G469" s="2" t="s">
        <v>221</v>
      </c>
      <c r="H469" s="2" t="s">
        <v>222</v>
      </c>
      <c r="I469" s="2" t="s">
        <v>926</v>
      </c>
      <c r="J469" s="2" t="s">
        <v>1741</v>
      </c>
      <c r="K469" s="2" t="s">
        <v>22</v>
      </c>
      <c r="L469" s="2" t="s">
        <v>32</v>
      </c>
      <c r="M469" s="3">
        <v>0</v>
      </c>
      <c r="N469" s="3">
        <v>0</v>
      </c>
      <c r="O469" s="9" t="s">
        <v>24</v>
      </c>
      <c r="P469" s="3">
        <v>0</v>
      </c>
    </row>
    <row r="470" spans="1:16" x14ac:dyDescent="0.3">
      <c r="A470" s="2" t="s">
        <v>1742</v>
      </c>
      <c r="B470" s="2" t="s">
        <v>1743</v>
      </c>
      <c r="C470" s="2" t="s">
        <v>18</v>
      </c>
      <c r="D470" s="5">
        <v>41.3594577</v>
      </c>
      <c r="E470" s="5">
        <v>36.234222500000001</v>
      </c>
      <c r="F470" s="3"/>
      <c r="G470" s="2" t="s">
        <v>221</v>
      </c>
      <c r="H470" s="2" t="s">
        <v>222</v>
      </c>
      <c r="I470" s="2" t="s">
        <v>926</v>
      </c>
      <c r="J470" s="2" t="s">
        <v>1744</v>
      </c>
      <c r="K470" s="2" t="s">
        <v>22</v>
      </c>
      <c r="L470" s="2" t="s">
        <v>23</v>
      </c>
      <c r="M470" s="3">
        <v>0</v>
      </c>
      <c r="N470" s="3">
        <v>0</v>
      </c>
      <c r="O470" s="9" t="s">
        <v>24</v>
      </c>
      <c r="P470" s="3">
        <v>0</v>
      </c>
    </row>
    <row r="471" spans="1:16" x14ac:dyDescent="0.3">
      <c r="A471" s="2" t="s">
        <v>1745</v>
      </c>
      <c r="B471" s="2" t="s">
        <v>1746</v>
      </c>
      <c r="C471" s="2" t="s">
        <v>18</v>
      </c>
      <c r="D471" s="5">
        <v>41.035458599999998</v>
      </c>
      <c r="E471" s="5">
        <v>36.234732200000003</v>
      </c>
      <c r="F471" s="2" t="s">
        <v>54</v>
      </c>
      <c r="G471" s="2" t="s">
        <v>259</v>
      </c>
      <c r="H471" s="2" t="s">
        <v>260</v>
      </c>
      <c r="I471" s="2" t="s">
        <v>260</v>
      </c>
      <c r="J471" s="2" t="s">
        <v>1747</v>
      </c>
      <c r="K471" s="2" t="s">
        <v>22</v>
      </c>
      <c r="L471" s="2" t="s">
        <v>435</v>
      </c>
      <c r="M471" s="3">
        <v>1</v>
      </c>
      <c r="N471" s="3">
        <v>1</v>
      </c>
      <c r="O471" s="9" t="s">
        <v>24</v>
      </c>
      <c r="P471" s="3">
        <v>0</v>
      </c>
    </row>
    <row r="472" spans="1:16" x14ac:dyDescent="0.3">
      <c r="A472" s="2" t="s">
        <v>1748</v>
      </c>
      <c r="B472" s="2" t="s">
        <v>1749</v>
      </c>
      <c r="C472" s="2" t="s">
        <v>18</v>
      </c>
      <c r="D472" s="5">
        <v>41.30845643</v>
      </c>
      <c r="E472" s="5">
        <v>36.275236599999999</v>
      </c>
      <c r="F472" s="2" t="s">
        <v>54</v>
      </c>
      <c r="G472" s="2" t="s">
        <v>221</v>
      </c>
      <c r="H472" s="2" t="s">
        <v>926</v>
      </c>
      <c r="I472" s="2" t="s">
        <v>926</v>
      </c>
      <c r="J472" s="2" t="s">
        <v>1750</v>
      </c>
      <c r="K472" s="2" t="s">
        <v>22</v>
      </c>
      <c r="L472" s="2" t="s">
        <v>23</v>
      </c>
      <c r="M472" s="3">
        <v>0</v>
      </c>
      <c r="N472" s="3">
        <v>0</v>
      </c>
      <c r="O472" s="9" t="s">
        <v>24</v>
      </c>
      <c r="P472" s="3">
        <v>0</v>
      </c>
    </row>
    <row r="473" spans="1:16" x14ac:dyDescent="0.3">
      <c r="A473" s="2" t="s">
        <v>1751</v>
      </c>
      <c r="B473" s="2" t="s">
        <v>1752</v>
      </c>
      <c r="C473" s="2" t="s">
        <v>18</v>
      </c>
      <c r="D473" s="5">
        <v>41.561883199999997</v>
      </c>
      <c r="E473" s="5">
        <v>35.902479399999997</v>
      </c>
      <c r="F473" s="2" t="s">
        <v>54</v>
      </c>
      <c r="G473" s="2" t="s">
        <v>259</v>
      </c>
      <c r="H473" s="2" t="s">
        <v>260</v>
      </c>
      <c r="I473" s="2" t="s">
        <v>260</v>
      </c>
      <c r="J473" s="2" t="s">
        <v>1753</v>
      </c>
      <c r="K473" s="2" t="s">
        <v>22</v>
      </c>
      <c r="L473" s="2" t="s">
        <v>53</v>
      </c>
      <c r="M473" s="3">
        <v>0</v>
      </c>
      <c r="N473" s="3">
        <v>1</v>
      </c>
      <c r="O473" s="9" t="s">
        <v>24</v>
      </c>
      <c r="P473" s="3">
        <v>0</v>
      </c>
    </row>
    <row r="474" spans="1:16" x14ac:dyDescent="0.3">
      <c r="A474" s="2" t="s">
        <v>1754</v>
      </c>
      <c r="B474" s="2" t="s">
        <v>1755</v>
      </c>
      <c r="C474" s="2" t="s">
        <v>18</v>
      </c>
      <c r="D474" s="5">
        <v>41.336459900000001</v>
      </c>
      <c r="E474" s="5">
        <v>36.260167299999999</v>
      </c>
      <c r="F474" s="2" t="s">
        <v>54</v>
      </c>
      <c r="G474" s="2" t="s">
        <v>1596</v>
      </c>
      <c r="H474" s="2" t="s">
        <v>1596</v>
      </c>
      <c r="I474" s="2" t="s">
        <v>1596</v>
      </c>
      <c r="J474" s="2" t="s">
        <v>1756</v>
      </c>
      <c r="K474" s="2" t="s">
        <v>22</v>
      </c>
      <c r="L474" s="2" t="s">
        <v>23</v>
      </c>
      <c r="M474" s="3">
        <v>2</v>
      </c>
      <c r="N474" s="3">
        <v>1</v>
      </c>
      <c r="O474" s="9" t="s">
        <v>24</v>
      </c>
      <c r="P474" s="3">
        <v>0</v>
      </c>
    </row>
    <row r="475" spans="1:16" x14ac:dyDescent="0.3">
      <c r="A475" s="2" t="s">
        <v>1757</v>
      </c>
      <c r="B475" s="2" t="s">
        <v>1758</v>
      </c>
      <c r="C475" s="2" t="s">
        <v>18</v>
      </c>
      <c r="D475" s="5">
        <v>41.265981799999999</v>
      </c>
      <c r="E475" s="5">
        <v>36.331989299999996</v>
      </c>
      <c r="F475" s="2" t="s">
        <v>54</v>
      </c>
      <c r="G475" s="2" t="s">
        <v>1596</v>
      </c>
      <c r="H475" s="2" t="s">
        <v>1596</v>
      </c>
      <c r="I475" s="2" t="s">
        <v>1596</v>
      </c>
      <c r="J475" s="2" t="s">
        <v>1759</v>
      </c>
      <c r="K475" s="2" t="s">
        <v>22</v>
      </c>
      <c r="L475" s="2" t="s">
        <v>32</v>
      </c>
      <c r="M475" s="3">
        <v>3</v>
      </c>
      <c r="N475" s="3">
        <v>1</v>
      </c>
      <c r="O475" s="9" t="s">
        <v>24</v>
      </c>
      <c r="P475" s="3">
        <v>0</v>
      </c>
    </row>
    <row r="476" spans="1:16" x14ac:dyDescent="0.3">
      <c r="A476" s="2" t="s">
        <v>1760</v>
      </c>
      <c r="B476" s="2" t="s">
        <v>1761</v>
      </c>
      <c r="C476" s="2" t="s">
        <v>18</v>
      </c>
      <c r="D476" s="5">
        <v>41.299750299999999</v>
      </c>
      <c r="E476" s="5">
        <v>36.324775799999998</v>
      </c>
      <c r="F476" s="2" t="s">
        <v>54</v>
      </c>
      <c r="G476" s="2" t="s">
        <v>1596</v>
      </c>
      <c r="H476" s="2" t="s">
        <v>1596</v>
      </c>
      <c r="I476" s="2" t="s">
        <v>1596</v>
      </c>
      <c r="J476" s="2" t="s">
        <v>1762</v>
      </c>
      <c r="K476" s="2" t="s">
        <v>22</v>
      </c>
      <c r="L476" s="2" t="s">
        <v>32</v>
      </c>
      <c r="M476" s="3">
        <v>1</v>
      </c>
      <c r="N476" s="3">
        <v>1</v>
      </c>
      <c r="O476" s="9" t="s">
        <v>24</v>
      </c>
      <c r="P476" s="3">
        <v>0</v>
      </c>
    </row>
    <row r="477" spans="1:16" x14ac:dyDescent="0.3">
      <c r="A477" s="2" t="s">
        <v>1763</v>
      </c>
      <c r="B477" s="2" t="s">
        <v>1764</v>
      </c>
      <c r="C477" s="2" t="s">
        <v>18</v>
      </c>
      <c r="D477" s="5">
        <v>41.045160500000001</v>
      </c>
      <c r="E477" s="5">
        <v>36.508232599999999</v>
      </c>
      <c r="F477" s="2" t="s">
        <v>54</v>
      </c>
      <c r="G477" s="2" t="s">
        <v>20</v>
      </c>
      <c r="H477" s="2" t="s">
        <v>20</v>
      </c>
      <c r="I477" s="2" t="s">
        <v>1369</v>
      </c>
      <c r="J477" s="2" t="s">
        <v>1765</v>
      </c>
      <c r="K477" s="2" t="s">
        <v>22</v>
      </c>
      <c r="L477" s="2" t="s">
        <v>44</v>
      </c>
      <c r="M477" s="3">
        <v>1</v>
      </c>
      <c r="N477" s="3">
        <v>1</v>
      </c>
      <c r="O477" s="9" t="s">
        <v>24</v>
      </c>
      <c r="P477" s="3">
        <v>0</v>
      </c>
    </row>
    <row r="478" spans="1:16" x14ac:dyDescent="0.3">
      <c r="A478" s="2" t="s">
        <v>1766</v>
      </c>
      <c r="B478" s="2" t="s">
        <v>1767</v>
      </c>
      <c r="C478" s="2" t="s">
        <v>18</v>
      </c>
      <c r="D478" s="5">
        <v>41.190618100000002</v>
      </c>
      <c r="E478" s="5">
        <v>36.705063600000003</v>
      </c>
      <c r="F478" s="2" t="s">
        <v>1768</v>
      </c>
      <c r="G478" s="2" t="s">
        <v>221</v>
      </c>
      <c r="H478" s="2" t="s">
        <v>926</v>
      </c>
      <c r="I478" s="2" t="s">
        <v>926</v>
      </c>
      <c r="J478" s="2" t="s">
        <v>1769</v>
      </c>
      <c r="K478" s="2" t="s">
        <v>22</v>
      </c>
      <c r="L478" s="2" t="s">
        <v>44</v>
      </c>
      <c r="M478" s="3">
        <v>0</v>
      </c>
      <c r="N478" s="3">
        <v>0</v>
      </c>
      <c r="O478" s="9" t="s">
        <v>24</v>
      </c>
      <c r="P478" s="3">
        <v>0</v>
      </c>
    </row>
    <row r="479" spans="1:16" x14ac:dyDescent="0.3">
      <c r="A479" s="2" t="s">
        <v>1770</v>
      </c>
      <c r="B479" s="2" t="s">
        <v>1771</v>
      </c>
      <c r="C479" s="2" t="s">
        <v>18</v>
      </c>
      <c r="D479" s="5">
        <v>41.563525800000001</v>
      </c>
      <c r="E479" s="5">
        <v>35.913829200000002</v>
      </c>
      <c r="F479" s="2" t="s">
        <v>54</v>
      </c>
      <c r="G479" s="2" t="s">
        <v>1596</v>
      </c>
      <c r="H479" s="2" t="s">
        <v>1596</v>
      </c>
      <c r="I479" s="2" t="s">
        <v>1596</v>
      </c>
      <c r="J479" s="2" t="s">
        <v>1772</v>
      </c>
      <c r="K479" s="2" t="s">
        <v>22</v>
      </c>
      <c r="L479" s="2" t="s">
        <v>53</v>
      </c>
      <c r="M479" s="3">
        <v>1</v>
      </c>
      <c r="N479" s="3">
        <v>1</v>
      </c>
      <c r="O479" s="9" t="s">
        <v>24</v>
      </c>
      <c r="P479" s="3">
        <v>0</v>
      </c>
    </row>
    <row r="480" spans="1:16" x14ac:dyDescent="0.3">
      <c r="A480" s="2" t="s">
        <v>1773</v>
      </c>
      <c r="B480" s="2" t="s">
        <v>1774</v>
      </c>
      <c r="C480" s="2" t="s">
        <v>18</v>
      </c>
      <c r="D480" s="5">
        <v>41.199565</v>
      </c>
      <c r="E480" s="5">
        <v>36.713254999999997</v>
      </c>
      <c r="F480" s="2" t="s">
        <v>54</v>
      </c>
      <c r="G480" s="2" t="s">
        <v>1596</v>
      </c>
      <c r="H480" s="2" t="s">
        <v>1596</v>
      </c>
      <c r="I480" s="2" t="s">
        <v>1596</v>
      </c>
      <c r="J480" s="2" t="s">
        <v>1775</v>
      </c>
      <c r="K480" s="2" t="s">
        <v>22</v>
      </c>
      <c r="L480" s="2" t="s">
        <v>44</v>
      </c>
      <c r="M480" s="3">
        <v>1</v>
      </c>
      <c r="N480" s="3">
        <v>1</v>
      </c>
      <c r="O480" s="9" t="s">
        <v>24</v>
      </c>
      <c r="P480" s="3">
        <v>0</v>
      </c>
    </row>
    <row r="481" spans="1:16" x14ac:dyDescent="0.3">
      <c r="A481" s="2" t="s">
        <v>1776</v>
      </c>
      <c r="B481" s="2" t="s">
        <v>1777</v>
      </c>
      <c r="C481" s="2" t="s">
        <v>18</v>
      </c>
      <c r="D481" s="5">
        <v>41.326448461079003</v>
      </c>
      <c r="E481" s="5">
        <v>36.288789203424002</v>
      </c>
      <c r="F481" s="2" t="s">
        <v>54</v>
      </c>
      <c r="G481" s="2" t="s">
        <v>1596</v>
      </c>
      <c r="H481" s="2" t="s">
        <v>1596</v>
      </c>
      <c r="I481" s="2" t="s">
        <v>1596</v>
      </c>
      <c r="J481" s="2" t="s">
        <v>1778</v>
      </c>
      <c r="K481" s="2" t="s">
        <v>22</v>
      </c>
      <c r="L481" s="2" t="s">
        <v>23</v>
      </c>
      <c r="M481" s="3">
        <v>1</v>
      </c>
      <c r="N481" s="3">
        <v>1</v>
      </c>
      <c r="O481" s="9" t="s">
        <v>24</v>
      </c>
      <c r="P481" s="3">
        <v>0</v>
      </c>
    </row>
    <row r="482" spans="1:16" x14ac:dyDescent="0.3">
      <c r="A482" s="2" t="s">
        <v>1779</v>
      </c>
      <c r="B482" s="2" t="s">
        <v>1780</v>
      </c>
      <c r="C482" s="2" t="s">
        <v>18</v>
      </c>
      <c r="D482" s="5">
        <v>41.071516000000003</v>
      </c>
      <c r="E482" s="5">
        <v>36.024457400000003</v>
      </c>
      <c r="F482" s="2" t="s">
        <v>1781</v>
      </c>
      <c r="G482" s="2" t="s">
        <v>28</v>
      </c>
      <c r="H482" s="2" t="s">
        <v>29</v>
      </c>
      <c r="I482" s="2" t="s">
        <v>37</v>
      </c>
      <c r="J482" s="2" t="s">
        <v>1782</v>
      </c>
      <c r="K482" s="2" t="s">
        <v>22</v>
      </c>
      <c r="L482" s="2" t="s">
        <v>224</v>
      </c>
      <c r="M482" s="3">
        <v>1</v>
      </c>
      <c r="N482" s="3">
        <v>1</v>
      </c>
      <c r="O482" s="9" t="s">
        <v>24</v>
      </c>
      <c r="P482" s="3">
        <v>-2313.19</v>
      </c>
    </row>
    <row r="483" spans="1:16" x14ac:dyDescent="0.3">
      <c r="A483" s="2" t="s">
        <v>1783</v>
      </c>
      <c r="B483" s="2" t="s">
        <v>1784</v>
      </c>
      <c r="C483" s="2" t="s">
        <v>18</v>
      </c>
      <c r="D483" s="5">
        <v>42.036825100000001</v>
      </c>
      <c r="E483" s="5">
        <v>35.050845899999999</v>
      </c>
      <c r="F483" s="2" t="s">
        <v>1785</v>
      </c>
      <c r="G483" s="2" t="s">
        <v>221</v>
      </c>
      <c r="H483" s="2" t="s">
        <v>1049</v>
      </c>
      <c r="I483" s="2" t="s">
        <v>1049</v>
      </c>
      <c r="J483" s="2" t="s">
        <v>1786</v>
      </c>
      <c r="K483" s="2" t="s">
        <v>154</v>
      </c>
      <c r="L483" s="2" t="s">
        <v>155</v>
      </c>
      <c r="M483" s="3">
        <v>2</v>
      </c>
      <c r="N483" s="3">
        <v>1</v>
      </c>
      <c r="O483" s="9" t="s">
        <v>24</v>
      </c>
      <c r="P483" s="3">
        <v>0</v>
      </c>
    </row>
    <row r="484" spans="1:16" x14ac:dyDescent="0.3">
      <c r="A484" s="2" t="s">
        <v>1787</v>
      </c>
      <c r="B484" s="2" t="s">
        <v>1788</v>
      </c>
      <c r="C484" s="2" t="s">
        <v>18</v>
      </c>
      <c r="D484" s="5">
        <v>41.565406099999997</v>
      </c>
      <c r="E484" s="5">
        <v>35.905891400000002</v>
      </c>
      <c r="F484" s="2" t="s">
        <v>1789</v>
      </c>
      <c r="G484" s="2" t="s">
        <v>221</v>
      </c>
      <c r="H484" s="2" t="s">
        <v>1049</v>
      </c>
      <c r="I484" s="2" t="s">
        <v>1049</v>
      </c>
      <c r="J484" s="2" t="s">
        <v>1790</v>
      </c>
      <c r="K484" s="2" t="s">
        <v>22</v>
      </c>
      <c r="L484" s="2" t="s">
        <v>53</v>
      </c>
      <c r="M484" s="3">
        <v>1</v>
      </c>
      <c r="N484" s="3">
        <v>1</v>
      </c>
      <c r="O484" s="9" t="s">
        <v>24</v>
      </c>
      <c r="P484" s="3">
        <v>-0.04</v>
      </c>
    </row>
    <row r="485" spans="1:16" x14ac:dyDescent="0.3">
      <c r="A485" s="2" t="s">
        <v>1791</v>
      </c>
      <c r="B485" s="2" t="s">
        <v>1792</v>
      </c>
      <c r="C485" s="2" t="s">
        <v>18</v>
      </c>
      <c r="D485" s="5">
        <v>40.973362999999999</v>
      </c>
      <c r="E485" s="5">
        <v>35.656127499999997</v>
      </c>
      <c r="F485" s="2" t="s">
        <v>54</v>
      </c>
      <c r="G485" s="2" t="s">
        <v>259</v>
      </c>
      <c r="H485" s="2" t="s">
        <v>260</v>
      </c>
      <c r="I485" s="2" t="s">
        <v>260</v>
      </c>
      <c r="J485" s="2" t="s">
        <v>1793</v>
      </c>
      <c r="K485" s="2" t="s">
        <v>22</v>
      </c>
      <c r="L485" s="2" t="s">
        <v>193</v>
      </c>
      <c r="M485" s="3">
        <v>0</v>
      </c>
      <c r="N485" s="3">
        <v>1</v>
      </c>
      <c r="O485" s="9" t="s">
        <v>24</v>
      </c>
      <c r="P485" s="3">
        <v>0</v>
      </c>
    </row>
    <row r="486" spans="1:16" x14ac:dyDescent="0.3">
      <c r="A486" s="2" t="s">
        <v>1794</v>
      </c>
      <c r="B486" s="2" t="s">
        <v>1795</v>
      </c>
      <c r="C486" s="2" t="s">
        <v>18</v>
      </c>
      <c r="D486" s="5">
        <v>41.562087400000003</v>
      </c>
      <c r="E486" s="5">
        <v>35.911869000000003</v>
      </c>
      <c r="F486" s="2" t="s">
        <v>54</v>
      </c>
      <c r="G486" s="2" t="s">
        <v>259</v>
      </c>
      <c r="H486" s="2" t="s">
        <v>260</v>
      </c>
      <c r="I486" s="2" t="s">
        <v>260</v>
      </c>
      <c r="J486" s="2" t="s">
        <v>1796</v>
      </c>
      <c r="K486" s="2" t="s">
        <v>22</v>
      </c>
      <c r="L486" s="2" t="s">
        <v>53</v>
      </c>
      <c r="M486" s="3">
        <v>0</v>
      </c>
      <c r="N486" s="3">
        <v>1</v>
      </c>
      <c r="O486" s="9" t="s">
        <v>24</v>
      </c>
      <c r="P486" s="3">
        <v>0</v>
      </c>
    </row>
    <row r="487" spans="1:16" x14ac:dyDescent="0.3">
      <c r="A487" s="2" t="s">
        <v>1797</v>
      </c>
      <c r="B487" s="2" t="s">
        <v>1798</v>
      </c>
      <c r="C487" s="2" t="s">
        <v>18</v>
      </c>
      <c r="D487" s="5">
        <v>41.457163299999998</v>
      </c>
      <c r="E487" s="5">
        <v>36.135231699999999</v>
      </c>
      <c r="F487" s="2" t="s">
        <v>54</v>
      </c>
      <c r="G487" s="2" t="s">
        <v>259</v>
      </c>
      <c r="H487" s="2" t="s">
        <v>260</v>
      </c>
      <c r="I487" s="2" t="s">
        <v>260</v>
      </c>
      <c r="J487" s="2" t="s">
        <v>1799</v>
      </c>
      <c r="K487" s="2" t="s">
        <v>22</v>
      </c>
      <c r="L487" s="2" t="s">
        <v>394</v>
      </c>
      <c r="M487" s="3">
        <v>1</v>
      </c>
      <c r="N487" s="3">
        <v>1</v>
      </c>
      <c r="O487" s="9" t="s">
        <v>24</v>
      </c>
      <c r="P487" s="3">
        <v>0</v>
      </c>
    </row>
    <row r="488" spans="1:16" x14ac:dyDescent="0.3">
      <c r="A488" s="2" t="s">
        <v>1800</v>
      </c>
      <c r="B488" s="2" t="s">
        <v>1801</v>
      </c>
      <c r="C488" s="2" t="s">
        <v>18</v>
      </c>
      <c r="D488" s="5">
        <v>41.358109599999999</v>
      </c>
      <c r="E488" s="5">
        <v>36.229489200000003</v>
      </c>
      <c r="F488" s="2" t="s">
        <v>54</v>
      </c>
      <c r="G488" s="2" t="s">
        <v>1596</v>
      </c>
      <c r="H488" s="2" t="s">
        <v>1596</v>
      </c>
      <c r="I488" s="2" t="s">
        <v>1596</v>
      </c>
      <c r="J488" s="2" t="s">
        <v>1802</v>
      </c>
      <c r="K488" s="2" t="s">
        <v>22</v>
      </c>
      <c r="L488" s="2" t="s">
        <v>23</v>
      </c>
      <c r="M488" s="3">
        <v>1</v>
      </c>
      <c r="N488" s="3">
        <v>1</v>
      </c>
      <c r="O488" s="9" t="s">
        <v>24</v>
      </c>
      <c r="P488" s="3">
        <v>0</v>
      </c>
    </row>
    <row r="489" spans="1:16" x14ac:dyDescent="0.3">
      <c r="A489" s="2" t="s">
        <v>1803</v>
      </c>
      <c r="B489" s="2" t="s">
        <v>1804</v>
      </c>
      <c r="C489" s="2" t="s">
        <v>18</v>
      </c>
      <c r="D489" s="5">
        <v>41.265588899999997</v>
      </c>
      <c r="E489" s="5">
        <v>36.358357900000001</v>
      </c>
      <c r="F489" s="2" t="s">
        <v>54</v>
      </c>
      <c r="G489" s="2" t="s">
        <v>1596</v>
      </c>
      <c r="H489" s="2" t="s">
        <v>1596</v>
      </c>
      <c r="I489" s="2" t="s">
        <v>1596</v>
      </c>
      <c r="J489" s="2" t="s">
        <v>1805</v>
      </c>
      <c r="K489" s="2" t="s">
        <v>22</v>
      </c>
      <c r="L489" s="2" t="s">
        <v>99</v>
      </c>
      <c r="M489" s="3">
        <v>1</v>
      </c>
      <c r="N489" s="3">
        <v>1</v>
      </c>
      <c r="O489" s="9" t="s">
        <v>24</v>
      </c>
      <c r="P489" s="3">
        <v>0</v>
      </c>
    </row>
    <row r="490" spans="1:16" x14ac:dyDescent="0.3">
      <c r="A490" s="2" t="s">
        <v>1806</v>
      </c>
      <c r="B490" s="2" t="s">
        <v>1807</v>
      </c>
      <c r="C490" s="2" t="s">
        <v>18</v>
      </c>
      <c r="D490" s="5">
        <v>41.8037329</v>
      </c>
      <c r="E490" s="5">
        <v>35.183148699999997</v>
      </c>
      <c r="F490" s="2" t="s">
        <v>54</v>
      </c>
      <c r="G490" s="2" t="s">
        <v>259</v>
      </c>
      <c r="H490" s="2" t="s">
        <v>260</v>
      </c>
      <c r="I490" s="2" t="s">
        <v>260</v>
      </c>
      <c r="J490" s="2" t="s">
        <v>1808</v>
      </c>
      <c r="K490" s="2" t="s">
        <v>154</v>
      </c>
      <c r="L490" s="2" t="s">
        <v>302</v>
      </c>
      <c r="M490" s="3">
        <v>1</v>
      </c>
      <c r="N490" s="3">
        <v>1</v>
      </c>
      <c r="O490" s="9" t="s">
        <v>24</v>
      </c>
      <c r="P490" s="3">
        <v>0</v>
      </c>
    </row>
    <row r="491" spans="1:16" x14ac:dyDescent="0.3">
      <c r="A491" s="2" t="s">
        <v>1809</v>
      </c>
      <c r="B491" s="2" t="s">
        <v>1810</v>
      </c>
      <c r="C491" s="2" t="s">
        <v>18</v>
      </c>
      <c r="D491" s="5">
        <v>41.296002700000003</v>
      </c>
      <c r="E491" s="5">
        <v>36.324319199999998</v>
      </c>
      <c r="F491" s="2" t="s">
        <v>1811</v>
      </c>
      <c r="G491" s="2" t="s">
        <v>28</v>
      </c>
      <c r="H491" s="2" t="s">
        <v>29</v>
      </c>
      <c r="I491" s="2" t="s">
        <v>37</v>
      </c>
      <c r="J491" s="2" t="s">
        <v>1812</v>
      </c>
      <c r="K491" s="2" t="s">
        <v>22</v>
      </c>
      <c r="L491" s="2" t="s">
        <v>32</v>
      </c>
      <c r="M491" s="3">
        <v>1</v>
      </c>
      <c r="N491" s="3">
        <v>1</v>
      </c>
      <c r="O491" s="9" t="s">
        <v>24</v>
      </c>
      <c r="P491" s="3">
        <v>0</v>
      </c>
    </row>
    <row r="492" spans="1:16" x14ac:dyDescent="0.3">
      <c r="A492" s="2" t="s">
        <v>1813</v>
      </c>
      <c r="B492" s="2" t="s">
        <v>1814</v>
      </c>
      <c r="C492" s="2" t="s">
        <v>18</v>
      </c>
      <c r="D492" s="5">
        <v>41.1329238</v>
      </c>
      <c r="E492" s="5">
        <v>37.280906199999997</v>
      </c>
      <c r="F492" s="2" t="s">
        <v>54</v>
      </c>
      <c r="G492" s="2" t="s">
        <v>259</v>
      </c>
      <c r="H492" s="2" t="s">
        <v>260</v>
      </c>
      <c r="I492" s="2" t="s">
        <v>260</v>
      </c>
      <c r="J492" s="2" t="s">
        <v>1815</v>
      </c>
      <c r="K492" s="2" t="s">
        <v>63</v>
      </c>
      <c r="L492" s="2" t="s">
        <v>89</v>
      </c>
      <c r="M492" s="3">
        <v>1</v>
      </c>
      <c r="N492" s="3">
        <v>1</v>
      </c>
      <c r="O492" s="9" t="s">
        <v>24</v>
      </c>
      <c r="P492" s="3">
        <v>0</v>
      </c>
    </row>
    <row r="493" spans="1:16" x14ac:dyDescent="0.3">
      <c r="A493" s="2" t="s">
        <v>1816</v>
      </c>
      <c r="B493" s="2" t="s">
        <v>1817</v>
      </c>
      <c r="C493" s="2" t="s">
        <v>18</v>
      </c>
      <c r="D493" s="5">
        <v>41.267035800000002</v>
      </c>
      <c r="E493" s="5">
        <v>36.2890005</v>
      </c>
      <c r="F493" s="2" t="s">
        <v>54</v>
      </c>
      <c r="G493" s="2" t="s">
        <v>259</v>
      </c>
      <c r="H493" s="2" t="s">
        <v>260</v>
      </c>
      <c r="I493" s="2" t="s">
        <v>260</v>
      </c>
      <c r="J493" s="2" t="s">
        <v>1818</v>
      </c>
      <c r="K493" s="2" t="s">
        <v>22</v>
      </c>
      <c r="L493" s="2" t="s">
        <v>32</v>
      </c>
      <c r="M493" s="3">
        <v>1</v>
      </c>
      <c r="N493" s="3">
        <v>1</v>
      </c>
      <c r="O493" s="9" t="s">
        <v>24</v>
      </c>
      <c r="P493" s="3">
        <v>0</v>
      </c>
    </row>
    <row r="494" spans="1:16" x14ac:dyDescent="0.3">
      <c r="A494" s="2" t="s">
        <v>1819</v>
      </c>
      <c r="B494" s="2" t="s">
        <v>1820</v>
      </c>
      <c r="C494" s="2" t="s">
        <v>18</v>
      </c>
      <c r="D494" s="5">
        <v>41.335184693454998</v>
      </c>
      <c r="E494" s="5">
        <v>36.275548764489997</v>
      </c>
      <c r="F494" s="2" t="s">
        <v>1821</v>
      </c>
      <c r="G494" s="2" t="s">
        <v>221</v>
      </c>
      <c r="H494" s="2" t="s">
        <v>222</v>
      </c>
      <c r="I494" s="2" t="s">
        <v>222</v>
      </c>
      <c r="J494" s="2" t="s">
        <v>1822</v>
      </c>
      <c r="K494" s="2" t="s">
        <v>22</v>
      </c>
      <c r="L494" s="2" t="s">
        <v>23</v>
      </c>
      <c r="M494" s="3">
        <v>0</v>
      </c>
      <c r="N494" s="3">
        <v>0</v>
      </c>
      <c r="O494" s="9" t="s">
        <v>24</v>
      </c>
      <c r="P494" s="3">
        <v>0</v>
      </c>
    </row>
    <row r="495" spans="1:16" x14ac:dyDescent="0.3">
      <c r="A495" s="2" t="s">
        <v>1823</v>
      </c>
      <c r="B495" s="2" t="s">
        <v>1824</v>
      </c>
      <c r="C495" s="2" t="s">
        <v>18</v>
      </c>
      <c r="D495" s="5">
        <v>41.122760100000001</v>
      </c>
      <c r="E495" s="5">
        <v>37.269107599999998</v>
      </c>
      <c r="F495" s="2" t="s">
        <v>54</v>
      </c>
      <c r="G495" s="2" t="s">
        <v>259</v>
      </c>
      <c r="H495" s="2" t="s">
        <v>260</v>
      </c>
      <c r="I495" s="2" t="s">
        <v>260</v>
      </c>
      <c r="J495" s="2" t="s">
        <v>1825</v>
      </c>
      <c r="K495" s="2" t="s">
        <v>63</v>
      </c>
      <c r="L495" s="2" t="s">
        <v>89</v>
      </c>
      <c r="M495" s="3">
        <v>1</v>
      </c>
      <c r="N495" s="3">
        <v>1</v>
      </c>
      <c r="O495" s="9" t="s">
        <v>24</v>
      </c>
      <c r="P495" s="3">
        <v>0</v>
      </c>
    </row>
    <row r="496" spans="1:16" x14ac:dyDescent="0.3">
      <c r="A496" s="2" t="s">
        <v>1826</v>
      </c>
      <c r="B496" s="2" t="s">
        <v>1827</v>
      </c>
      <c r="C496" s="2" t="s">
        <v>18</v>
      </c>
      <c r="D496" s="5">
        <v>41.293685699999997</v>
      </c>
      <c r="E496" s="5">
        <v>36.310870299999998</v>
      </c>
      <c r="F496" s="2" t="s">
        <v>54</v>
      </c>
      <c r="G496" s="2" t="s">
        <v>259</v>
      </c>
      <c r="H496" s="2" t="s">
        <v>260</v>
      </c>
      <c r="I496" s="2" t="s">
        <v>260</v>
      </c>
      <c r="J496" s="2" t="s">
        <v>1828</v>
      </c>
      <c r="K496" s="2" t="s">
        <v>22</v>
      </c>
      <c r="L496" s="2" t="s">
        <v>32</v>
      </c>
      <c r="M496" s="3">
        <v>1</v>
      </c>
      <c r="N496" s="3">
        <v>1</v>
      </c>
      <c r="O496" s="9" t="s">
        <v>24</v>
      </c>
      <c r="P496" s="3">
        <v>0</v>
      </c>
    </row>
    <row r="497" spans="1:16" x14ac:dyDescent="0.3">
      <c r="A497" s="2" t="s">
        <v>1829</v>
      </c>
      <c r="B497" s="2" t="s">
        <v>1830</v>
      </c>
      <c r="C497" s="2" t="s">
        <v>18</v>
      </c>
      <c r="D497" s="5">
        <v>41.322750449200001</v>
      </c>
      <c r="E497" s="5">
        <v>36.304798806100003</v>
      </c>
      <c r="F497" s="2" t="s">
        <v>54</v>
      </c>
      <c r="G497" s="2" t="s">
        <v>259</v>
      </c>
      <c r="H497" s="2" t="s">
        <v>260</v>
      </c>
      <c r="I497" s="2" t="s">
        <v>260</v>
      </c>
      <c r="J497" s="2" t="s">
        <v>1831</v>
      </c>
      <c r="K497" s="2" t="s">
        <v>22</v>
      </c>
      <c r="L497" s="2" t="s">
        <v>23</v>
      </c>
      <c r="M497" s="3">
        <v>1</v>
      </c>
      <c r="N497" s="3">
        <v>1</v>
      </c>
      <c r="O497" s="9" t="s">
        <v>24</v>
      </c>
      <c r="P497" s="3">
        <v>0</v>
      </c>
    </row>
    <row r="498" spans="1:16" x14ac:dyDescent="0.3">
      <c r="A498" s="2" t="s">
        <v>1832</v>
      </c>
      <c r="B498" s="2" t="s">
        <v>1833</v>
      </c>
      <c r="C498" s="2" t="s">
        <v>18</v>
      </c>
      <c r="D498" s="5">
        <v>41.554266800000001</v>
      </c>
      <c r="E498" s="5">
        <v>35.908643400000003</v>
      </c>
      <c r="F498" s="2" t="s">
        <v>54</v>
      </c>
      <c r="G498" s="2" t="s">
        <v>259</v>
      </c>
      <c r="H498" s="2" t="s">
        <v>260</v>
      </c>
      <c r="I498" s="2" t="s">
        <v>260</v>
      </c>
      <c r="J498" s="2" t="s">
        <v>1834</v>
      </c>
      <c r="K498" s="2" t="s">
        <v>22</v>
      </c>
      <c r="L498" s="2" t="s">
        <v>53</v>
      </c>
      <c r="M498" s="3">
        <v>1</v>
      </c>
      <c r="N498" s="3">
        <v>1</v>
      </c>
      <c r="O498" s="9" t="s">
        <v>24</v>
      </c>
      <c r="P498" s="3">
        <v>0</v>
      </c>
    </row>
    <row r="499" spans="1:16" x14ac:dyDescent="0.3">
      <c r="A499" s="2" t="s">
        <v>1835</v>
      </c>
      <c r="B499" s="2" t="s">
        <v>1836</v>
      </c>
      <c r="C499" s="2" t="s">
        <v>18</v>
      </c>
      <c r="D499" s="5">
        <v>41.560355999999999</v>
      </c>
      <c r="E499" s="5">
        <v>35.675376999999997</v>
      </c>
      <c r="F499" s="2" t="s">
        <v>1837</v>
      </c>
      <c r="G499" s="2" t="s">
        <v>28</v>
      </c>
      <c r="H499" s="2" t="s">
        <v>29</v>
      </c>
      <c r="I499" s="2" t="s">
        <v>37</v>
      </c>
      <c r="J499" s="2" t="s">
        <v>1838</v>
      </c>
      <c r="K499" s="2" t="s">
        <v>22</v>
      </c>
      <c r="L499" s="2" t="s">
        <v>265</v>
      </c>
      <c r="M499" s="3">
        <v>1</v>
      </c>
      <c r="N499" s="3">
        <v>1</v>
      </c>
      <c r="O499" s="9" t="s">
        <v>24</v>
      </c>
      <c r="P499" s="3">
        <v>0</v>
      </c>
    </row>
    <row r="500" spans="1:16" x14ac:dyDescent="0.3">
      <c r="A500" s="2" t="s">
        <v>1839</v>
      </c>
      <c r="B500" s="2" t="s">
        <v>1840</v>
      </c>
      <c r="C500" s="2" t="s">
        <v>18</v>
      </c>
      <c r="D500" s="5">
        <v>41.337644239399999</v>
      </c>
      <c r="E500" s="5">
        <v>36.263534489900003</v>
      </c>
      <c r="F500" s="2" t="s">
        <v>54</v>
      </c>
      <c r="G500" s="2" t="s">
        <v>259</v>
      </c>
      <c r="H500" s="2" t="s">
        <v>260</v>
      </c>
      <c r="I500" s="2" t="s">
        <v>260</v>
      </c>
      <c r="J500" s="2" t="s">
        <v>1841</v>
      </c>
      <c r="K500" s="2" t="s">
        <v>22</v>
      </c>
      <c r="L500" s="2" t="s">
        <v>23</v>
      </c>
      <c r="M500" s="3">
        <v>1</v>
      </c>
      <c r="N500" s="3">
        <v>1</v>
      </c>
      <c r="O500" s="9" t="s">
        <v>24</v>
      </c>
      <c r="P500" s="3">
        <v>0</v>
      </c>
    </row>
    <row r="501" spans="1:16" x14ac:dyDescent="0.3">
      <c r="A501" s="2" t="s">
        <v>1842</v>
      </c>
      <c r="B501" s="2" t="s">
        <v>1843</v>
      </c>
      <c r="C501" s="2" t="s">
        <v>18</v>
      </c>
      <c r="D501" s="5">
        <v>41.344277320000003</v>
      </c>
      <c r="E501" s="5">
        <v>36.242548540000001</v>
      </c>
      <c r="F501" s="2" t="s">
        <v>1844</v>
      </c>
      <c r="G501" s="2" t="s">
        <v>28</v>
      </c>
      <c r="H501" s="2" t="s">
        <v>36</v>
      </c>
      <c r="I501" s="2" t="s">
        <v>37</v>
      </c>
      <c r="J501" s="2" t="s">
        <v>1845</v>
      </c>
      <c r="K501" s="2" t="s">
        <v>22</v>
      </c>
      <c r="L501" s="2" t="s">
        <v>23</v>
      </c>
      <c r="M501" s="3">
        <v>0</v>
      </c>
      <c r="N501" s="3">
        <v>0</v>
      </c>
      <c r="O501" s="9" t="s">
        <v>54</v>
      </c>
      <c r="P501" s="3">
        <v>0</v>
      </c>
    </row>
    <row r="502" spans="1:16" x14ac:dyDescent="0.3">
      <c r="A502" s="2" t="s">
        <v>1846</v>
      </c>
      <c r="B502" s="2" t="s">
        <v>1847</v>
      </c>
      <c r="C502" s="2" t="s">
        <v>18</v>
      </c>
      <c r="D502" s="5">
        <v>41.263984200000003</v>
      </c>
      <c r="E502" s="5">
        <v>36.377466099999999</v>
      </c>
      <c r="F502" s="2" t="s">
        <v>1848</v>
      </c>
      <c r="G502" s="2" t="s">
        <v>221</v>
      </c>
      <c r="H502" s="2" t="s">
        <v>1049</v>
      </c>
      <c r="I502" s="2" t="s">
        <v>1049</v>
      </c>
      <c r="J502" s="2" t="s">
        <v>1849</v>
      </c>
      <c r="K502" s="2" t="s">
        <v>22</v>
      </c>
      <c r="L502" s="2" t="s">
        <v>99</v>
      </c>
      <c r="M502" s="3">
        <v>0</v>
      </c>
      <c r="N502" s="3">
        <v>1</v>
      </c>
      <c r="O502" s="9" t="s">
        <v>24</v>
      </c>
      <c r="P502" s="3">
        <v>29386.26</v>
      </c>
    </row>
    <row r="503" spans="1:16" x14ac:dyDescent="0.3">
      <c r="A503" s="2" t="s">
        <v>1850</v>
      </c>
      <c r="B503" s="2" t="s">
        <v>1851</v>
      </c>
      <c r="C503" s="2" t="s">
        <v>18</v>
      </c>
      <c r="D503" s="5">
        <v>41.410626700000002</v>
      </c>
      <c r="E503" s="5">
        <v>36.185493299999997</v>
      </c>
      <c r="F503" s="2" t="s">
        <v>1821</v>
      </c>
      <c r="G503" s="2" t="s">
        <v>28</v>
      </c>
      <c r="H503" s="2" t="s">
        <v>29</v>
      </c>
      <c r="I503" s="2" t="s">
        <v>30</v>
      </c>
      <c r="J503" s="2" t="s">
        <v>1852</v>
      </c>
      <c r="K503" s="2" t="s">
        <v>22</v>
      </c>
      <c r="L503" s="2" t="s">
        <v>23</v>
      </c>
      <c r="M503" s="3">
        <v>1</v>
      </c>
      <c r="N503" s="3">
        <v>1</v>
      </c>
      <c r="O503" s="9" t="s">
        <v>54</v>
      </c>
      <c r="P503" s="3">
        <v>0</v>
      </c>
    </row>
    <row r="504" spans="1:16" x14ac:dyDescent="0.3">
      <c r="A504" s="2" t="s">
        <v>1853</v>
      </c>
      <c r="B504" s="2" t="s">
        <v>1854</v>
      </c>
      <c r="C504" s="2" t="s">
        <v>18</v>
      </c>
      <c r="D504" s="5">
        <v>41.143640400000002</v>
      </c>
      <c r="E504" s="5">
        <v>37.239673199999999</v>
      </c>
      <c r="F504" s="2" t="s">
        <v>363</v>
      </c>
      <c r="G504" s="2" t="s">
        <v>28</v>
      </c>
      <c r="H504" s="2" t="s">
        <v>29</v>
      </c>
      <c r="I504" s="2" t="s">
        <v>30</v>
      </c>
      <c r="J504" s="2" t="s">
        <v>1855</v>
      </c>
      <c r="K504" s="2" t="s">
        <v>63</v>
      </c>
      <c r="L504" s="2" t="s">
        <v>89</v>
      </c>
      <c r="M504" s="3">
        <v>0</v>
      </c>
      <c r="N504" s="3">
        <v>1</v>
      </c>
      <c r="O504" s="9" t="s">
        <v>54</v>
      </c>
      <c r="P504" s="3">
        <v>0</v>
      </c>
    </row>
    <row r="505" spans="1:16" x14ac:dyDescent="0.3">
      <c r="A505" s="2" t="s">
        <v>1856</v>
      </c>
      <c r="B505" s="2" t="s">
        <v>1857</v>
      </c>
      <c r="C505" s="2" t="s">
        <v>18</v>
      </c>
      <c r="D505" s="5">
        <v>41.190424999999998</v>
      </c>
      <c r="E505" s="5">
        <v>35.194611700000003</v>
      </c>
      <c r="F505" s="2" t="s">
        <v>1858</v>
      </c>
      <c r="G505" s="2" t="s">
        <v>28</v>
      </c>
      <c r="H505" s="2" t="s">
        <v>29</v>
      </c>
      <c r="I505" s="2" t="s">
        <v>37</v>
      </c>
      <c r="J505" s="2" t="s">
        <v>1859</v>
      </c>
      <c r="K505" s="2" t="s">
        <v>22</v>
      </c>
      <c r="L505" s="2" t="s">
        <v>164</v>
      </c>
      <c r="M505" s="3">
        <v>0</v>
      </c>
      <c r="N505" s="3">
        <v>1</v>
      </c>
      <c r="O505" s="9" t="s">
        <v>24</v>
      </c>
      <c r="P505" s="3">
        <v>-128.63999999999999</v>
      </c>
    </row>
    <row r="506" spans="1:16" x14ac:dyDescent="0.3">
      <c r="A506" s="2" t="s">
        <v>1860</v>
      </c>
      <c r="B506" s="2" t="s">
        <v>1861</v>
      </c>
      <c r="C506" s="2" t="s">
        <v>18</v>
      </c>
      <c r="D506" s="5">
        <v>41.3617688</v>
      </c>
      <c r="E506" s="5">
        <v>36.2293789</v>
      </c>
      <c r="F506" s="2" t="s">
        <v>54</v>
      </c>
      <c r="G506" s="2" t="s">
        <v>259</v>
      </c>
      <c r="H506" s="2" t="s">
        <v>260</v>
      </c>
      <c r="I506" s="2" t="s">
        <v>260</v>
      </c>
      <c r="J506" s="2" t="s">
        <v>1862</v>
      </c>
      <c r="K506" s="2" t="s">
        <v>22</v>
      </c>
      <c r="L506" s="2" t="s">
        <v>23</v>
      </c>
      <c r="M506" s="3">
        <v>0</v>
      </c>
      <c r="N506" s="3">
        <v>1</v>
      </c>
      <c r="O506" s="9" t="s">
        <v>24</v>
      </c>
      <c r="P506" s="3">
        <v>0</v>
      </c>
    </row>
    <row r="507" spans="1:16" x14ac:dyDescent="0.3">
      <c r="A507" s="2" t="s">
        <v>1863</v>
      </c>
      <c r="B507" s="2" t="s">
        <v>1864</v>
      </c>
      <c r="C507" s="2" t="s">
        <v>18</v>
      </c>
      <c r="D507" s="5">
        <v>41.144420599999997</v>
      </c>
      <c r="E507" s="5">
        <v>35.449439300000002</v>
      </c>
      <c r="F507" s="2" t="s">
        <v>54</v>
      </c>
      <c r="G507" s="2" t="s">
        <v>259</v>
      </c>
      <c r="H507" s="2" t="s">
        <v>260</v>
      </c>
      <c r="I507" s="2" t="s">
        <v>260</v>
      </c>
      <c r="J507" s="2" t="s">
        <v>1865</v>
      </c>
      <c r="K507" s="2" t="s">
        <v>22</v>
      </c>
      <c r="L507" s="2" t="s">
        <v>164</v>
      </c>
      <c r="M507" s="3">
        <v>1</v>
      </c>
      <c r="N507" s="3">
        <v>1</v>
      </c>
      <c r="O507" s="9" t="s">
        <v>24</v>
      </c>
      <c r="P507" s="3">
        <v>0</v>
      </c>
    </row>
    <row r="508" spans="1:16" x14ac:dyDescent="0.3">
      <c r="A508" s="2" t="s">
        <v>1866</v>
      </c>
      <c r="B508" s="2" t="s">
        <v>1867</v>
      </c>
      <c r="C508" s="2" t="s">
        <v>18</v>
      </c>
      <c r="D508" s="5">
        <v>41.2695018</v>
      </c>
      <c r="E508" s="5">
        <v>36.320278700000003</v>
      </c>
      <c r="F508" s="2" t="s">
        <v>54</v>
      </c>
      <c r="G508" s="2" t="s">
        <v>20</v>
      </c>
      <c r="H508" s="2" t="s">
        <v>20</v>
      </c>
      <c r="I508" s="2" t="s">
        <v>1369</v>
      </c>
      <c r="J508" s="2" t="s">
        <v>1868</v>
      </c>
      <c r="K508" s="2" t="s">
        <v>22</v>
      </c>
      <c r="L508" s="2" t="s">
        <v>32</v>
      </c>
      <c r="M508" s="3">
        <v>0</v>
      </c>
      <c r="N508" s="3">
        <v>1</v>
      </c>
      <c r="O508" s="9" t="s">
        <v>24</v>
      </c>
      <c r="P508" s="3">
        <v>0</v>
      </c>
    </row>
    <row r="509" spans="1:16" x14ac:dyDescent="0.3">
      <c r="A509" s="2" t="s">
        <v>1869</v>
      </c>
      <c r="B509" s="2" t="s">
        <v>1870</v>
      </c>
      <c r="C509" s="2" t="s">
        <v>18</v>
      </c>
      <c r="D509" s="5">
        <v>41.336901900000001</v>
      </c>
      <c r="E509" s="5">
        <v>36.242105799999997</v>
      </c>
      <c r="F509" s="2" t="s">
        <v>54</v>
      </c>
      <c r="G509" s="2" t="s">
        <v>259</v>
      </c>
      <c r="H509" s="2" t="s">
        <v>260</v>
      </c>
      <c r="I509" s="2" t="s">
        <v>260</v>
      </c>
      <c r="J509" s="2" t="s">
        <v>1871</v>
      </c>
      <c r="K509" s="2" t="s">
        <v>22</v>
      </c>
      <c r="L509" s="2" t="s">
        <v>23</v>
      </c>
      <c r="M509" s="3">
        <v>1</v>
      </c>
      <c r="N509" s="3">
        <v>1</v>
      </c>
      <c r="O509" s="9" t="s">
        <v>24</v>
      </c>
      <c r="P509" s="3">
        <v>0</v>
      </c>
    </row>
    <row r="510" spans="1:16" x14ac:dyDescent="0.3">
      <c r="A510" s="2" t="s">
        <v>1872</v>
      </c>
      <c r="B510" s="2" t="s">
        <v>1873</v>
      </c>
      <c r="C510" s="2" t="s">
        <v>18</v>
      </c>
      <c r="D510" s="5">
        <v>41.642613300000001</v>
      </c>
      <c r="E510" s="5">
        <v>35.681696700000003</v>
      </c>
      <c r="F510" s="2" t="s">
        <v>1874</v>
      </c>
      <c r="G510" s="2" t="s">
        <v>28</v>
      </c>
      <c r="H510" s="2" t="s">
        <v>29</v>
      </c>
      <c r="I510" s="2" t="s">
        <v>37</v>
      </c>
      <c r="J510" s="2" t="s">
        <v>1875</v>
      </c>
      <c r="K510" s="2" t="s">
        <v>22</v>
      </c>
      <c r="L510" s="2" t="s">
        <v>265</v>
      </c>
      <c r="M510" s="3">
        <v>1</v>
      </c>
      <c r="N510" s="3">
        <v>1</v>
      </c>
      <c r="O510" s="9" t="s">
        <v>24</v>
      </c>
      <c r="P510" s="3">
        <v>0</v>
      </c>
    </row>
    <row r="511" spans="1:16" x14ac:dyDescent="0.3">
      <c r="A511" s="2" t="s">
        <v>1876</v>
      </c>
      <c r="B511" s="2" t="s">
        <v>1877</v>
      </c>
      <c r="C511" s="2" t="s">
        <v>18</v>
      </c>
      <c r="D511" s="5">
        <v>41.3345471489</v>
      </c>
      <c r="E511" s="5">
        <v>36.276104823700003</v>
      </c>
      <c r="F511" s="2" t="s">
        <v>54</v>
      </c>
      <c r="G511" s="2" t="s">
        <v>259</v>
      </c>
      <c r="H511" s="2" t="s">
        <v>260</v>
      </c>
      <c r="I511" s="2" t="s">
        <v>260</v>
      </c>
      <c r="J511" s="2" t="s">
        <v>1878</v>
      </c>
      <c r="K511" s="2" t="s">
        <v>22</v>
      </c>
      <c r="L511" s="2" t="s">
        <v>23</v>
      </c>
      <c r="M511" s="3">
        <v>1</v>
      </c>
      <c r="N511" s="3">
        <v>1</v>
      </c>
      <c r="O511" s="9" t="s">
        <v>24</v>
      </c>
      <c r="P511" s="3">
        <v>0</v>
      </c>
    </row>
    <row r="512" spans="1:16" x14ac:dyDescent="0.3">
      <c r="A512" s="2" t="s">
        <v>1879</v>
      </c>
      <c r="B512" s="2" t="s">
        <v>1880</v>
      </c>
      <c r="C512" s="2" t="s">
        <v>18</v>
      </c>
      <c r="D512" s="5">
        <v>41.268722699999998</v>
      </c>
      <c r="E512" s="5">
        <v>36.366774499999998</v>
      </c>
      <c r="F512" s="2" t="s">
        <v>54</v>
      </c>
      <c r="G512" s="2" t="s">
        <v>20</v>
      </c>
      <c r="H512" s="2" t="s">
        <v>20</v>
      </c>
      <c r="I512" s="2" t="s">
        <v>1369</v>
      </c>
      <c r="J512" s="2" t="s">
        <v>1881</v>
      </c>
      <c r="K512" s="2" t="s">
        <v>22</v>
      </c>
      <c r="L512" s="2" t="s">
        <v>99</v>
      </c>
      <c r="M512" s="3">
        <v>0</v>
      </c>
      <c r="N512" s="3">
        <v>1</v>
      </c>
      <c r="O512" s="9" t="s">
        <v>54</v>
      </c>
      <c r="P512" s="3">
        <v>0</v>
      </c>
    </row>
    <row r="513" spans="1:16" x14ac:dyDescent="0.3">
      <c r="A513" s="2" t="s">
        <v>1882</v>
      </c>
      <c r="B513" s="2" t="s">
        <v>1883</v>
      </c>
      <c r="C513" s="2" t="s">
        <v>18</v>
      </c>
      <c r="D513" s="5">
        <v>41.609352700000002</v>
      </c>
      <c r="E513" s="5">
        <v>35.650887599999997</v>
      </c>
      <c r="F513" s="2" t="s">
        <v>1884</v>
      </c>
      <c r="G513" s="2" t="s">
        <v>28</v>
      </c>
      <c r="H513" s="2" t="s">
        <v>29</v>
      </c>
      <c r="I513" s="2" t="s">
        <v>37</v>
      </c>
      <c r="J513" s="2" t="s">
        <v>1885</v>
      </c>
      <c r="K513" s="2" t="s">
        <v>22</v>
      </c>
      <c r="L513" s="2" t="s">
        <v>265</v>
      </c>
      <c r="M513" s="3">
        <v>1</v>
      </c>
      <c r="N513" s="3">
        <v>1</v>
      </c>
      <c r="O513" s="9" t="s">
        <v>24</v>
      </c>
      <c r="P513" s="3">
        <v>-0.01</v>
      </c>
    </row>
    <row r="514" spans="1:16" x14ac:dyDescent="0.3">
      <c r="A514" s="2" t="s">
        <v>1886</v>
      </c>
      <c r="B514" s="2" t="s">
        <v>1887</v>
      </c>
      <c r="C514" s="2" t="s">
        <v>18</v>
      </c>
      <c r="D514" s="5">
        <v>41.202402499999998</v>
      </c>
      <c r="E514" s="5">
        <v>36.684580500000003</v>
      </c>
      <c r="F514" s="2" t="s">
        <v>54</v>
      </c>
      <c r="G514" s="2" t="s">
        <v>20</v>
      </c>
      <c r="H514" s="2" t="s">
        <v>20</v>
      </c>
      <c r="I514" s="2" t="s">
        <v>1369</v>
      </c>
      <c r="J514" s="2" t="s">
        <v>1888</v>
      </c>
      <c r="K514" s="2" t="s">
        <v>22</v>
      </c>
      <c r="L514" s="2" t="s">
        <v>44</v>
      </c>
      <c r="M514" s="3">
        <v>1</v>
      </c>
      <c r="N514" s="3">
        <v>1</v>
      </c>
      <c r="O514" s="9" t="s">
        <v>54</v>
      </c>
      <c r="P514" s="3">
        <v>0</v>
      </c>
    </row>
    <row r="515" spans="1:16" x14ac:dyDescent="0.3">
      <c r="A515" s="2" t="s">
        <v>1889</v>
      </c>
      <c r="B515" s="2" t="s">
        <v>1890</v>
      </c>
      <c r="C515" s="2" t="s">
        <v>18</v>
      </c>
      <c r="D515" s="5">
        <v>41.576111699999998</v>
      </c>
      <c r="E515" s="5">
        <v>35.942583300000003</v>
      </c>
      <c r="F515" s="2" t="s">
        <v>1891</v>
      </c>
      <c r="G515" s="2" t="s">
        <v>28</v>
      </c>
      <c r="H515" s="2" t="s">
        <v>29</v>
      </c>
      <c r="I515" s="2" t="s">
        <v>37</v>
      </c>
      <c r="J515" s="2" t="s">
        <v>1892</v>
      </c>
      <c r="K515" s="2" t="s">
        <v>22</v>
      </c>
      <c r="L515" s="2" t="s">
        <v>53</v>
      </c>
      <c r="M515" s="3">
        <v>0</v>
      </c>
      <c r="N515" s="3">
        <v>1</v>
      </c>
      <c r="O515" s="9" t="s">
        <v>24</v>
      </c>
      <c r="P515" s="3">
        <v>-1539.7</v>
      </c>
    </row>
    <row r="516" spans="1:16" x14ac:dyDescent="0.3">
      <c r="A516" s="2" t="s">
        <v>1893</v>
      </c>
      <c r="B516" s="2" t="s">
        <v>1894</v>
      </c>
      <c r="C516" s="2" t="s">
        <v>18</v>
      </c>
      <c r="D516" s="5">
        <v>41.143521900000003</v>
      </c>
      <c r="E516" s="5">
        <v>37.240125399999997</v>
      </c>
      <c r="F516" s="2" t="s">
        <v>1895</v>
      </c>
      <c r="G516" s="2" t="s">
        <v>28</v>
      </c>
      <c r="H516" s="2" t="s">
        <v>29</v>
      </c>
      <c r="I516" s="2" t="s">
        <v>37</v>
      </c>
      <c r="J516" s="2" t="s">
        <v>1896</v>
      </c>
      <c r="K516" s="2" t="s">
        <v>63</v>
      </c>
      <c r="L516" s="2" t="s">
        <v>89</v>
      </c>
      <c r="M516" s="3">
        <v>1</v>
      </c>
      <c r="N516" s="3">
        <v>1</v>
      </c>
      <c r="O516" s="9" t="s">
        <v>54</v>
      </c>
      <c r="P516" s="3">
        <v>-4078.1</v>
      </c>
    </row>
    <row r="517" spans="1:16" x14ac:dyDescent="0.3">
      <c r="A517" s="2" t="s">
        <v>1897</v>
      </c>
      <c r="B517" s="2" t="s">
        <v>1898</v>
      </c>
      <c r="C517" s="2" t="s">
        <v>18</v>
      </c>
      <c r="D517" s="5">
        <v>41.119700100000003</v>
      </c>
      <c r="E517" s="5">
        <v>37.2809028</v>
      </c>
      <c r="F517" s="2" t="s">
        <v>1899</v>
      </c>
      <c r="G517" s="2" t="s">
        <v>28</v>
      </c>
      <c r="H517" s="2" t="s">
        <v>29</v>
      </c>
      <c r="I517" s="2" t="s">
        <v>37</v>
      </c>
      <c r="J517" s="2" t="s">
        <v>1900</v>
      </c>
      <c r="K517" s="2" t="s">
        <v>63</v>
      </c>
      <c r="L517" s="2" t="s">
        <v>89</v>
      </c>
      <c r="M517" s="3">
        <v>0</v>
      </c>
      <c r="N517" s="3">
        <v>0</v>
      </c>
      <c r="O517" s="9" t="s">
        <v>24</v>
      </c>
      <c r="P517" s="3">
        <v>-0.39</v>
      </c>
    </row>
    <row r="518" spans="1:16" x14ac:dyDescent="0.3">
      <c r="A518" s="2" t="s">
        <v>1901</v>
      </c>
      <c r="B518" s="2" t="s">
        <v>1902</v>
      </c>
      <c r="C518" s="2" t="s">
        <v>18</v>
      </c>
      <c r="D518" s="5">
        <v>41.359802100000003</v>
      </c>
      <c r="E518" s="5">
        <v>36.221903099999999</v>
      </c>
      <c r="F518" s="2" t="s">
        <v>54</v>
      </c>
      <c r="G518" s="2" t="s">
        <v>259</v>
      </c>
      <c r="H518" s="2" t="s">
        <v>260</v>
      </c>
      <c r="I518" s="2" t="s">
        <v>260</v>
      </c>
      <c r="J518" s="2" t="s">
        <v>1903</v>
      </c>
      <c r="K518" s="2" t="s">
        <v>22</v>
      </c>
      <c r="L518" s="2" t="s">
        <v>23</v>
      </c>
      <c r="M518" s="3">
        <v>1</v>
      </c>
      <c r="N518" s="3">
        <v>1</v>
      </c>
      <c r="O518" s="9" t="s">
        <v>24</v>
      </c>
      <c r="P518" s="3">
        <v>0</v>
      </c>
    </row>
    <row r="519" spans="1:16" x14ac:dyDescent="0.3">
      <c r="A519" s="2" t="s">
        <v>1904</v>
      </c>
      <c r="B519" s="2" t="s">
        <v>1905</v>
      </c>
      <c r="C519" s="2" t="s">
        <v>18</v>
      </c>
      <c r="D519" s="5">
        <v>41.257683299999997</v>
      </c>
      <c r="E519" s="5">
        <v>36.735666700000003</v>
      </c>
      <c r="F519" s="2" t="s">
        <v>54</v>
      </c>
      <c r="G519" s="2" t="s">
        <v>20</v>
      </c>
      <c r="H519" s="2" t="s">
        <v>20</v>
      </c>
      <c r="I519" s="2" t="s">
        <v>1369</v>
      </c>
      <c r="J519" s="2" t="s">
        <v>1906</v>
      </c>
      <c r="K519" s="2" t="s">
        <v>22</v>
      </c>
      <c r="L519" s="2" t="s">
        <v>44</v>
      </c>
      <c r="M519" s="3">
        <v>0</v>
      </c>
      <c r="N519" s="3">
        <v>1</v>
      </c>
      <c r="O519" s="9" t="s">
        <v>54</v>
      </c>
      <c r="P519" s="3">
        <v>0</v>
      </c>
    </row>
    <row r="520" spans="1:16" x14ac:dyDescent="0.3">
      <c r="A520" s="2" t="s">
        <v>1907</v>
      </c>
      <c r="B520" s="2" t="s">
        <v>1908</v>
      </c>
      <c r="C520" s="2" t="s">
        <v>18</v>
      </c>
      <c r="D520" s="5">
        <v>42.024286799999999</v>
      </c>
      <c r="E520" s="5">
        <v>35.155702499999997</v>
      </c>
      <c r="F520" s="2" t="s">
        <v>1909</v>
      </c>
      <c r="G520" s="2" t="s">
        <v>28</v>
      </c>
      <c r="H520" s="2" t="s">
        <v>318</v>
      </c>
      <c r="I520" s="2" t="s">
        <v>37</v>
      </c>
      <c r="J520" s="2" t="s">
        <v>1910</v>
      </c>
      <c r="K520" s="2" t="s">
        <v>154</v>
      </c>
      <c r="L520" s="2" t="s">
        <v>155</v>
      </c>
      <c r="M520" s="3">
        <v>0</v>
      </c>
      <c r="N520" s="3">
        <v>0</v>
      </c>
      <c r="O520" s="9" t="s">
        <v>24</v>
      </c>
      <c r="P520" s="3">
        <v>-0.27</v>
      </c>
    </row>
    <row r="521" spans="1:16" x14ac:dyDescent="0.3">
      <c r="A521" s="2" t="s">
        <v>1911</v>
      </c>
      <c r="B521" s="2" t="s">
        <v>1912</v>
      </c>
      <c r="C521" s="2" t="s">
        <v>18</v>
      </c>
      <c r="D521" s="5">
        <v>41.110693300000001</v>
      </c>
      <c r="E521" s="5">
        <v>35.161375</v>
      </c>
      <c r="F521" s="2" t="s">
        <v>1913</v>
      </c>
      <c r="G521" s="2" t="s">
        <v>28</v>
      </c>
      <c r="H521" s="2" t="s">
        <v>682</v>
      </c>
      <c r="I521" s="2" t="s">
        <v>37</v>
      </c>
      <c r="J521" s="2" t="s">
        <v>1914</v>
      </c>
      <c r="K521" s="2" t="s">
        <v>22</v>
      </c>
      <c r="L521" s="2" t="s">
        <v>164</v>
      </c>
      <c r="M521" s="3">
        <v>0</v>
      </c>
      <c r="N521" s="3">
        <v>0</v>
      </c>
      <c r="O521" s="9" t="s">
        <v>54</v>
      </c>
      <c r="P521" s="3">
        <v>0</v>
      </c>
    </row>
    <row r="522" spans="1:16" x14ac:dyDescent="0.3">
      <c r="A522" s="2" t="s">
        <v>1915</v>
      </c>
      <c r="B522" s="2" t="s">
        <v>1916</v>
      </c>
      <c r="C522" s="2" t="s">
        <v>18</v>
      </c>
      <c r="D522" s="5">
        <v>41.224757199999999</v>
      </c>
      <c r="E522" s="5">
        <v>36.457189200000002</v>
      </c>
      <c r="F522" s="2" t="s">
        <v>363</v>
      </c>
      <c r="G522" s="2" t="s">
        <v>221</v>
      </c>
      <c r="H522" s="2" t="s">
        <v>1049</v>
      </c>
      <c r="I522" s="2" t="s">
        <v>1049</v>
      </c>
      <c r="J522" s="2" t="s">
        <v>1917</v>
      </c>
      <c r="K522" s="2" t="s">
        <v>22</v>
      </c>
      <c r="L522" s="2" t="s">
        <v>39</v>
      </c>
      <c r="M522" s="3">
        <v>0</v>
      </c>
      <c r="N522" s="3">
        <v>0</v>
      </c>
      <c r="O522" s="9" t="s">
        <v>24</v>
      </c>
      <c r="P522" s="3">
        <v>0</v>
      </c>
    </row>
    <row r="523" spans="1:16" x14ac:dyDescent="0.3">
      <c r="A523" s="2" t="s">
        <v>1918</v>
      </c>
      <c r="B523" s="2" t="s">
        <v>1919</v>
      </c>
      <c r="C523" s="2" t="s">
        <v>18</v>
      </c>
      <c r="D523" s="5">
        <v>41.2104955</v>
      </c>
      <c r="E523" s="5">
        <v>36.969202299999999</v>
      </c>
      <c r="F523" s="2" t="s">
        <v>54</v>
      </c>
      <c r="G523" s="2" t="s">
        <v>259</v>
      </c>
      <c r="H523" s="2" t="s">
        <v>260</v>
      </c>
      <c r="I523" s="2" t="s">
        <v>260</v>
      </c>
      <c r="J523" s="2" t="s">
        <v>1920</v>
      </c>
      <c r="K523" s="2" t="s">
        <v>22</v>
      </c>
      <c r="L523" s="2" t="s">
        <v>328</v>
      </c>
      <c r="M523" s="3">
        <v>1</v>
      </c>
      <c r="N523" s="3">
        <v>1</v>
      </c>
      <c r="O523" s="9" t="s">
        <v>24</v>
      </c>
      <c r="P523" s="3">
        <v>0</v>
      </c>
    </row>
    <row r="524" spans="1:16" x14ac:dyDescent="0.3">
      <c r="A524" s="2" t="s">
        <v>1921</v>
      </c>
      <c r="B524" s="2" t="s">
        <v>1922</v>
      </c>
      <c r="C524" s="2" t="s">
        <v>18</v>
      </c>
      <c r="D524" s="5">
        <v>41.287774900000002</v>
      </c>
      <c r="E524" s="5">
        <v>36.338388799999997</v>
      </c>
      <c r="F524" s="2" t="s">
        <v>1923</v>
      </c>
      <c r="G524" s="2" t="s">
        <v>221</v>
      </c>
      <c r="H524" s="2" t="s">
        <v>1049</v>
      </c>
      <c r="I524" s="2" t="s">
        <v>1049</v>
      </c>
      <c r="J524" s="2" t="s">
        <v>1924</v>
      </c>
      <c r="K524" s="2" t="s">
        <v>22</v>
      </c>
      <c r="L524" s="2" t="s">
        <v>32</v>
      </c>
      <c r="M524" s="3">
        <v>1</v>
      </c>
      <c r="N524" s="3">
        <v>1</v>
      </c>
      <c r="O524" s="9" t="s">
        <v>24</v>
      </c>
      <c r="P524" s="3">
        <v>15482.38</v>
      </c>
    </row>
    <row r="525" spans="1:16" x14ac:dyDescent="0.3">
      <c r="A525" s="2" t="s">
        <v>1925</v>
      </c>
      <c r="B525" s="2" t="s">
        <v>1926</v>
      </c>
      <c r="C525" s="2" t="s">
        <v>18</v>
      </c>
      <c r="D525" s="5">
        <v>41.257798399999999</v>
      </c>
      <c r="E525" s="5">
        <v>36.352700599999999</v>
      </c>
      <c r="F525" s="2" t="s">
        <v>54</v>
      </c>
      <c r="G525" s="2" t="s">
        <v>20</v>
      </c>
      <c r="H525" s="2" t="s">
        <v>20</v>
      </c>
      <c r="I525" s="2" t="s">
        <v>1369</v>
      </c>
      <c r="J525" s="2" t="s">
        <v>1927</v>
      </c>
      <c r="K525" s="2" t="s">
        <v>22</v>
      </c>
      <c r="L525" s="2" t="s">
        <v>99</v>
      </c>
      <c r="M525" s="3">
        <v>1</v>
      </c>
      <c r="N525" s="3">
        <v>1</v>
      </c>
      <c r="O525" s="9" t="s">
        <v>54</v>
      </c>
      <c r="P525" s="3">
        <v>0</v>
      </c>
    </row>
    <row r="526" spans="1:16" x14ac:dyDescent="0.3">
      <c r="A526" s="2" t="s">
        <v>1928</v>
      </c>
      <c r="B526" s="2" t="s">
        <v>1929</v>
      </c>
      <c r="C526" s="2" t="s">
        <v>18</v>
      </c>
      <c r="D526" s="5">
        <v>41.289425000000001</v>
      </c>
      <c r="E526" s="5">
        <v>36.312010000000001</v>
      </c>
      <c r="F526" s="2" t="s">
        <v>1930</v>
      </c>
      <c r="G526" s="2" t="s">
        <v>28</v>
      </c>
      <c r="H526" s="2" t="s">
        <v>36</v>
      </c>
      <c r="I526" s="2" t="s">
        <v>37</v>
      </c>
      <c r="J526" s="2" t="s">
        <v>1931</v>
      </c>
      <c r="K526" s="2" t="s">
        <v>22</v>
      </c>
      <c r="L526" s="2" t="s">
        <v>32</v>
      </c>
      <c r="M526" s="3">
        <v>0</v>
      </c>
      <c r="N526" s="3">
        <v>1</v>
      </c>
      <c r="O526" s="9" t="s">
        <v>24</v>
      </c>
      <c r="P526" s="3">
        <v>1999.98</v>
      </c>
    </row>
    <row r="527" spans="1:16" x14ac:dyDescent="0.3">
      <c r="A527" s="2" t="s">
        <v>1932</v>
      </c>
      <c r="B527" s="2" t="s">
        <v>1933</v>
      </c>
      <c r="C527" s="2" t="s">
        <v>18</v>
      </c>
      <c r="D527" s="5">
        <v>41.062897999999997</v>
      </c>
      <c r="E527" s="5">
        <v>36.016242099999999</v>
      </c>
      <c r="F527" s="2" t="s">
        <v>54</v>
      </c>
      <c r="G527" s="2" t="s">
        <v>221</v>
      </c>
      <c r="H527" s="2" t="s">
        <v>1688</v>
      </c>
      <c r="I527" s="2" t="s">
        <v>1688</v>
      </c>
      <c r="J527" s="2" t="s">
        <v>1934</v>
      </c>
      <c r="K527" s="2" t="s">
        <v>22</v>
      </c>
      <c r="L527" s="2" t="s">
        <v>224</v>
      </c>
      <c r="M527" s="3">
        <v>0</v>
      </c>
      <c r="N527" s="3">
        <v>0</v>
      </c>
      <c r="O527" s="9" t="s">
        <v>24</v>
      </c>
      <c r="P527" s="3">
        <v>0</v>
      </c>
    </row>
    <row r="528" spans="1:16" x14ac:dyDescent="0.3">
      <c r="A528" s="2" t="s">
        <v>1935</v>
      </c>
      <c r="B528" s="2" t="s">
        <v>1936</v>
      </c>
      <c r="C528" s="2" t="s">
        <v>18</v>
      </c>
      <c r="D528" s="5">
        <v>41.255479800000003</v>
      </c>
      <c r="E528" s="5">
        <v>36.829515800000003</v>
      </c>
      <c r="F528" s="2" t="s">
        <v>1937</v>
      </c>
      <c r="G528" s="2" t="s">
        <v>28</v>
      </c>
      <c r="H528" s="2" t="s">
        <v>29</v>
      </c>
      <c r="I528" s="2" t="s">
        <v>37</v>
      </c>
      <c r="J528" s="2" t="s">
        <v>1938</v>
      </c>
      <c r="K528" s="2" t="s">
        <v>22</v>
      </c>
      <c r="L528" s="2" t="s">
        <v>328</v>
      </c>
      <c r="M528" s="3">
        <v>1</v>
      </c>
      <c r="N528" s="3">
        <v>1</v>
      </c>
      <c r="O528" s="9" t="s">
        <v>54</v>
      </c>
      <c r="P528" s="3">
        <v>-776.97</v>
      </c>
    </row>
    <row r="529" spans="1:16" x14ac:dyDescent="0.3">
      <c r="A529" s="2" t="s">
        <v>1939</v>
      </c>
      <c r="B529" s="2" t="s">
        <v>1940</v>
      </c>
      <c r="C529" s="2" t="s">
        <v>18</v>
      </c>
      <c r="D529" s="5">
        <v>41.297938299999998</v>
      </c>
      <c r="E529" s="5">
        <v>36.321773299999997</v>
      </c>
      <c r="F529" s="2" t="s">
        <v>1941</v>
      </c>
      <c r="G529" s="2" t="s">
        <v>28</v>
      </c>
      <c r="H529" s="2" t="s">
        <v>29</v>
      </c>
      <c r="I529" s="2" t="s">
        <v>37</v>
      </c>
      <c r="J529" s="2" t="s">
        <v>1942</v>
      </c>
      <c r="K529" s="2" t="s">
        <v>22</v>
      </c>
      <c r="L529" s="2" t="s">
        <v>32</v>
      </c>
      <c r="M529" s="3">
        <v>1</v>
      </c>
      <c r="N529" s="3">
        <v>1</v>
      </c>
      <c r="O529" s="9" t="s">
        <v>24</v>
      </c>
      <c r="P529" s="3">
        <v>650</v>
      </c>
    </row>
    <row r="530" spans="1:16" x14ac:dyDescent="0.3">
      <c r="A530" s="2" t="s">
        <v>1943</v>
      </c>
      <c r="B530" s="2" t="s">
        <v>1944</v>
      </c>
      <c r="C530" s="2" t="s">
        <v>18</v>
      </c>
      <c r="D530" s="5">
        <v>41.3404478</v>
      </c>
      <c r="E530" s="5">
        <v>36.244601600000003</v>
      </c>
      <c r="F530" s="2" t="s">
        <v>54</v>
      </c>
      <c r="G530" s="2" t="s">
        <v>259</v>
      </c>
      <c r="H530" s="2" t="s">
        <v>260</v>
      </c>
      <c r="I530" s="2" t="s">
        <v>260</v>
      </c>
      <c r="J530" s="2" t="s">
        <v>1945</v>
      </c>
      <c r="K530" s="2" t="s">
        <v>22</v>
      </c>
      <c r="L530" s="2" t="s">
        <v>23</v>
      </c>
      <c r="M530" s="3">
        <v>1</v>
      </c>
      <c r="N530" s="3">
        <v>1</v>
      </c>
      <c r="O530" s="9" t="s">
        <v>24</v>
      </c>
      <c r="P530" s="3">
        <v>0</v>
      </c>
    </row>
    <row r="531" spans="1:16" x14ac:dyDescent="0.3">
      <c r="A531" s="2" t="s">
        <v>1946</v>
      </c>
      <c r="B531" s="2" t="s">
        <v>1947</v>
      </c>
      <c r="C531" s="2" t="s">
        <v>18</v>
      </c>
      <c r="D531" s="5">
        <v>41.140577800000003</v>
      </c>
      <c r="E531" s="5">
        <v>37.277146000000002</v>
      </c>
      <c r="F531" s="2" t="s">
        <v>54</v>
      </c>
      <c r="G531" s="2" t="s">
        <v>259</v>
      </c>
      <c r="H531" s="2" t="s">
        <v>260</v>
      </c>
      <c r="I531" s="2" t="s">
        <v>260</v>
      </c>
      <c r="J531" s="2" t="s">
        <v>1948</v>
      </c>
      <c r="K531" s="2" t="s">
        <v>63</v>
      </c>
      <c r="L531" s="2" t="s">
        <v>89</v>
      </c>
      <c r="M531" s="3">
        <v>1</v>
      </c>
      <c r="N531" s="3">
        <v>1</v>
      </c>
      <c r="O531" s="9" t="s">
        <v>24</v>
      </c>
      <c r="P531" s="3">
        <v>0</v>
      </c>
    </row>
    <row r="532" spans="1:16" x14ac:dyDescent="0.3">
      <c r="A532" s="2" t="s">
        <v>1949</v>
      </c>
      <c r="B532" s="2" t="s">
        <v>1950</v>
      </c>
      <c r="C532" s="2" t="s">
        <v>18</v>
      </c>
      <c r="D532" s="5">
        <v>42.023128200000002</v>
      </c>
      <c r="E532" s="5">
        <v>35.154338600000003</v>
      </c>
      <c r="F532" s="2" t="s">
        <v>54</v>
      </c>
      <c r="G532" s="2" t="s">
        <v>259</v>
      </c>
      <c r="H532" s="2" t="s">
        <v>260</v>
      </c>
      <c r="I532" s="2" t="s">
        <v>260</v>
      </c>
      <c r="J532" s="2" t="s">
        <v>1951</v>
      </c>
      <c r="K532" s="2" t="s">
        <v>154</v>
      </c>
      <c r="L532" s="2" t="s">
        <v>155</v>
      </c>
      <c r="M532" s="3">
        <v>1</v>
      </c>
      <c r="N532" s="3">
        <v>1</v>
      </c>
      <c r="O532" s="9" t="s">
        <v>24</v>
      </c>
      <c r="P532" s="3">
        <v>0</v>
      </c>
    </row>
    <row r="533" spans="1:16" x14ac:dyDescent="0.3">
      <c r="A533" s="2" t="s">
        <v>1952</v>
      </c>
      <c r="B533" s="2" t="s">
        <v>1953</v>
      </c>
      <c r="C533" s="2" t="s">
        <v>18</v>
      </c>
      <c r="D533" s="5">
        <v>41.078715600000002</v>
      </c>
      <c r="E533" s="5">
        <v>36.829002899999999</v>
      </c>
      <c r="F533" s="2" t="s">
        <v>54</v>
      </c>
      <c r="G533" s="2" t="s">
        <v>20</v>
      </c>
      <c r="H533" s="2" t="s">
        <v>20</v>
      </c>
      <c r="I533" s="2" t="s">
        <v>1369</v>
      </c>
      <c r="J533" s="2" t="s">
        <v>1954</v>
      </c>
      <c r="K533" s="2" t="s">
        <v>22</v>
      </c>
      <c r="L533" s="2" t="s">
        <v>476</v>
      </c>
      <c r="M533" s="3">
        <v>1</v>
      </c>
      <c r="N533" s="3">
        <v>1</v>
      </c>
      <c r="O533" s="9" t="s">
        <v>54</v>
      </c>
      <c r="P533" s="3">
        <v>0</v>
      </c>
    </row>
    <row r="534" spans="1:16" x14ac:dyDescent="0.3">
      <c r="A534" s="2" t="s">
        <v>1955</v>
      </c>
      <c r="B534" s="2" t="s">
        <v>1956</v>
      </c>
      <c r="C534" s="2" t="s">
        <v>18</v>
      </c>
      <c r="D534" s="5">
        <v>41.2769282</v>
      </c>
      <c r="E534" s="5">
        <v>36.186040200000001</v>
      </c>
      <c r="F534" s="2" t="s">
        <v>1957</v>
      </c>
      <c r="G534" s="2" t="s">
        <v>28</v>
      </c>
      <c r="H534" s="2" t="s">
        <v>682</v>
      </c>
      <c r="I534" s="2" t="s">
        <v>37</v>
      </c>
      <c r="J534" s="2" t="s">
        <v>1958</v>
      </c>
      <c r="K534" s="2" t="s">
        <v>22</v>
      </c>
      <c r="L534" s="2" t="s">
        <v>23</v>
      </c>
      <c r="M534" s="3">
        <v>0</v>
      </c>
      <c r="N534" s="3">
        <v>1</v>
      </c>
      <c r="O534" s="9" t="s">
        <v>24</v>
      </c>
      <c r="P534" s="3">
        <v>0</v>
      </c>
    </row>
    <row r="535" spans="1:16" x14ac:dyDescent="0.3">
      <c r="A535" s="2" t="s">
        <v>1959</v>
      </c>
      <c r="B535" s="2" t="s">
        <v>1960</v>
      </c>
      <c r="C535" s="2" t="s">
        <v>18</v>
      </c>
      <c r="D535" s="5">
        <v>40.9770459</v>
      </c>
      <c r="E535" s="5">
        <v>35.658155399999998</v>
      </c>
      <c r="F535" s="2" t="s">
        <v>1961</v>
      </c>
      <c r="G535" s="2" t="s">
        <v>28</v>
      </c>
      <c r="H535" s="2" t="s">
        <v>36</v>
      </c>
      <c r="I535" s="2" t="s">
        <v>37</v>
      </c>
      <c r="J535" s="2" t="s">
        <v>1962</v>
      </c>
      <c r="K535" s="2" t="s">
        <v>22</v>
      </c>
      <c r="L535" s="2" t="s">
        <v>193</v>
      </c>
      <c r="M535" s="3">
        <v>1</v>
      </c>
      <c r="N535" s="3">
        <v>1</v>
      </c>
      <c r="O535" s="9" t="s">
        <v>24</v>
      </c>
      <c r="P535" s="3">
        <v>0</v>
      </c>
    </row>
    <row r="536" spans="1:16" x14ac:dyDescent="0.3">
      <c r="A536" s="2" t="s">
        <v>1963</v>
      </c>
      <c r="B536" s="2" t="s">
        <v>1964</v>
      </c>
      <c r="C536" s="2" t="s">
        <v>18</v>
      </c>
      <c r="D536" s="5">
        <v>41.201267899999998</v>
      </c>
      <c r="E536" s="5">
        <v>36.735280600000003</v>
      </c>
      <c r="F536" s="2" t="s">
        <v>1965</v>
      </c>
      <c r="G536" s="2" t="s">
        <v>28</v>
      </c>
      <c r="H536" s="2" t="s">
        <v>29</v>
      </c>
      <c r="I536" s="2" t="s">
        <v>30</v>
      </c>
      <c r="J536" s="2" t="s">
        <v>1966</v>
      </c>
      <c r="K536" s="2" t="s">
        <v>22</v>
      </c>
      <c r="L536" s="2" t="s">
        <v>44</v>
      </c>
      <c r="M536" s="3">
        <v>1</v>
      </c>
      <c r="N536" s="3">
        <v>1</v>
      </c>
      <c r="O536" s="9" t="s">
        <v>24</v>
      </c>
      <c r="P536" s="3">
        <v>-570.63</v>
      </c>
    </row>
    <row r="537" spans="1:16" x14ac:dyDescent="0.3">
      <c r="A537" s="2" t="s">
        <v>1967</v>
      </c>
      <c r="B537" s="2" t="s">
        <v>1968</v>
      </c>
      <c r="C537" s="2" t="s">
        <v>18</v>
      </c>
      <c r="D537" s="5">
        <v>41.238726300000003</v>
      </c>
      <c r="E537" s="5">
        <v>36.541414000000003</v>
      </c>
      <c r="F537" s="2" t="s">
        <v>54</v>
      </c>
      <c r="G537" s="2" t="s">
        <v>259</v>
      </c>
      <c r="H537" s="2" t="s">
        <v>260</v>
      </c>
      <c r="I537" s="2" t="s">
        <v>260</v>
      </c>
      <c r="J537" s="2" t="s">
        <v>1969</v>
      </c>
      <c r="K537" s="2" t="s">
        <v>22</v>
      </c>
      <c r="L537" s="2" t="s">
        <v>44</v>
      </c>
      <c r="M537" s="3">
        <v>2</v>
      </c>
      <c r="N537" s="3">
        <v>1</v>
      </c>
      <c r="O537" s="9" t="s">
        <v>24</v>
      </c>
      <c r="P537" s="3">
        <v>0</v>
      </c>
    </row>
    <row r="538" spans="1:16" x14ac:dyDescent="0.3">
      <c r="A538" s="2" t="s">
        <v>1970</v>
      </c>
      <c r="B538" s="2" t="s">
        <v>1971</v>
      </c>
      <c r="C538" s="2" t="s">
        <v>18</v>
      </c>
      <c r="D538" s="5">
        <v>41.266564199999998</v>
      </c>
      <c r="E538" s="5">
        <v>36.339540900000003</v>
      </c>
      <c r="F538" s="2" t="s">
        <v>54</v>
      </c>
      <c r="G538" s="2" t="s">
        <v>259</v>
      </c>
      <c r="H538" s="2" t="s">
        <v>260</v>
      </c>
      <c r="I538" s="2" t="s">
        <v>260</v>
      </c>
      <c r="J538" s="2" t="s">
        <v>1972</v>
      </c>
      <c r="K538" s="2" t="s">
        <v>22</v>
      </c>
      <c r="L538" s="2" t="s">
        <v>32</v>
      </c>
      <c r="M538" s="3">
        <v>1</v>
      </c>
      <c r="N538" s="3">
        <v>1</v>
      </c>
      <c r="O538" s="9" t="s">
        <v>24</v>
      </c>
      <c r="P538" s="3">
        <v>0</v>
      </c>
    </row>
    <row r="539" spans="1:16" x14ac:dyDescent="0.3">
      <c r="A539" s="2" t="s">
        <v>1973</v>
      </c>
      <c r="B539" s="2" t="s">
        <v>1974</v>
      </c>
      <c r="C539" s="2" t="s">
        <v>18</v>
      </c>
      <c r="D539" s="5">
        <v>41.2152824</v>
      </c>
      <c r="E539" s="5">
        <v>37.013379899999997</v>
      </c>
      <c r="F539" s="2" t="s">
        <v>1975</v>
      </c>
      <c r="G539" s="2" t="s">
        <v>28</v>
      </c>
      <c r="H539" s="2" t="s">
        <v>29</v>
      </c>
      <c r="I539" s="2" t="s">
        <v>37</v>
      </c>
      <c r="J539" s="2" t="s">
        <v>1976</v>
      </c>
      <c r="K539" s="2" t="s">
        <v>22</v>
      </c>
      <c r="L539" s="2" t="s">
        <v>328</v>
      </c>
      <c r="M539" s="3">
        <v>0</v>
      </c>
      <c r="N539" s="3">
        <v>1</v>
      </c>
      <c r="O539" s="9" t="s">
        <v>54</v>
      </c>
      <c r="P539" s="3">
        <v>42400.59</v>
      </c>
    </row>
    <row r="540" spans="1:16" x14ac:dyDescent="0.3">
      <c r="A540" s="2" t="s">
        <v>1977</v>
      </c>
      <c r="B540" s="2" t="s">
        <v>1978</v>
      </c>
      <c r="C540" s="2" t="s">
        <v>18</v>
      </c>
      <c r="D540" s="5">
        <v>41.418142508199999</v>
      </c>
      <c r="E540" s="5">
        <v>35.799691490800001</v>
      </c>
      <c r="F540" s="2" t="s">
        <v>1979</v>
      </c>
      <c r="G540" s="2" t="s">
        <v>28</v>
      </c>
      <c r="H540" s="2" t="s">
        <v>29</v>
      </c>
      <c r="I540" s="2" t="s">
        <v>37</v>
      </c>
      <c r="J540" s="2" t="s">
        <v>1980</v>
      </c>
      <c r="K540" s="2" t="s">
        <v>22</v>
      </c>
      <c r="L540" s="2" t="s">
        <v>53</v>
      </c>
      <c r="M540" s="3">
        <v>0</v>
      </c>
      <c r="N540" s="3">
        <v>0</v>
      </c>
      <c r="O540" s="9" t="s">
        <v>24</v>
      </c>
      <c r="P540" s="3">
        <v>0</v>
      </c>
    </row>
    <row r="541" spans="1:16" x14ac:dyDescent="0.3">
      <c r="A541" s="2" t="s">
        <v>1981</v>
      </c>
      <c r="B541" s="2" t="s">
        <v>1982</v>
      </c>
      <c r="C541" s="2" t="s">
        <v>18</v>
      </c>
      <c r="D541" s="5">
        <v>41.319080360000001</v>
      </c>
      <c r="E541" s="5">
        <v>36.323018679999997</v>
      </c>
      <c r="F541" s="2" t="s">
        <v>363</v>
      </c>
      <c r="G541" s="2" t="s">
        <v>221</v>
      </c>
      <c r="H541" s="2" t="s">
        <v>222</v>
      </c>
      <c r="I541" s="2" t="s">
        <v>222</v>
      </c>
      <c r="J541" s="2" t="s">
        <v>1983</v>
      </c>
      <c r="K541" s="2" t="s">
        <v>22</v>
      </c>
      <c r="L541" s="2" t="s">
        <v>32</v>
      </c>
      <c r="M541" s="3">
        <v>1</v>
      </c>
      <c r="N541" s="3">
        <v>1</v>
      </c>
      <c r="O541" s="9" t="s">
        <v>24</v>
      </c>
      <c r="P541" s="3">
        <v>0</v>
      </c>
    </row>
    <row r="542" spans="1:16" x14ac:dyDescent="0.3">
      <c r="A542" s="2" t="s">
        <v>1984</v>
      </c>
      <c r="B542" s="2" t="s">
        <v>1985</v>
      </c>
      <c r="C542" s="2" t="s">
        <v>18</v>
      </c>
      <c r="D542" s="5">
        <v>41.808829199999998</v>
      </c>
      <c r="E542" s="5">
        <v>35.186743900000003</v>
      </c>
      <c r="F542" s="2" t="s">
        <v>54</v>
      </c>
      <c r="G542" s="2" t="s">
        <v>259</v>
      </c>
      <c r="H542" s="2" t="s">
        <v>260</v>
      </c>
      <c r="I542" s="2" t="s">
        <v>260</v>
      </c>
      <c r="J542" s="2" t="s">
        <v>1986</v>
      </c>
      <c r="K542" s="2" t="s">
        <v>154</v>
      </c>
      <c r="L542" s="2" t="s">
        <v>302</v>
      </c>
      <c r="M542" s="3">
        <v>1</v>
      </c>
      <c r="N542" s="3">
        <v>1</v>
      </c>
      <c r="O542" s="9" t="s">
        <v>24</v>
      </c>
      <c r="P542" s="3">
        <v>0</v>
      </c>
    </row>
    <row r="543" spans="1:16" x14ac:dyDescent="0.3">
      <c r="A543" s="2" t="s">
        <v>1987</v>
      </c>
      <c r="B543" s="2" t="s">
        <v>1988</v>
      </c>
      <c r="C543" s="2" t="s">
        <v>18</v>
      </c>
      <c r="D543" s="5">
        <v>41.567482900000002</v>
      </c>
      <c r="E543" s="5">
        <v>35.892812300000003</v>
      </c>
      <c r="F543" s="2" t="s">
        <v>54</v>
      </c>
      <c r="G543" s="2" t="s">
        <v>259</v>
      </c>
      <c r="H543" s="2" t="s">
        <v>260</v>
      </c>
      <c r="I543" s="2" t="s">
        <v>260</v>
      </c>
      <c r="J543" s="2" t="s">
        <v>1989</v>
      </c>
      <c r="K543" s="2" t="s">
        <v>22</v>
      </c>
      <c r="L543" s="2" t="s">
        <v>53</v>
      </c>
      <c r="M543" s="3">
        <v>1</v>
      </c>
      <c r="N543" s="3">
        <v>1</v>
      </c>
      <c r="O543" s="9" t="s">
        <v>24</v>
      </c>
      <c r="P543" s="3">
        <v>0</v>
      </c>
    </row>
    <row r="544" spans="1:16" x14ac:dyDescent="0.3">
      <c r="A544" s="2" t="s">
        <v>1990</v>
      </c>
      <c r="B544" s="2" t="s">
        <v>1991</v>
      </c>
      <c r="C544" s="2" t="s">
        <v>18</v>
      </c>
      <c r="D544" s="5">
        <v>42.026356200000002</v>
      </c>
      <c r="E544" s="5">
        <v>35.151603600000001</v>
      </c>
      <c r="F544" s="2" t="s">
        <v>1992</v>
      </c>
      <c r="G544" s="2" t="s">
        <v>221</v>
      </c>
      <c r="H544" s="2" t="s">
        <v>1049</v>
      </c>
      <c r="I544" s="2" t="s">
        <v>1049</v>
      </c>
      <c r="J544" s="2" t="s">
        <v>1993</v>
      </c>
      <c r="K544" s="2" t="s">
        <v>154</v>
      </c>
      <c r="L544" s="2" t="s">
        <v>155</v>
      </c>
      <c r="M544" s="3">
        <v>1</v>
      </c>
      <c r="N544" s="3">
        <v>1</v>
      </c>
      <c r="O544" s="9" t="s">
        <v>24</v>
      </c>
      <c r="P544" s="3">
        <v>-2070.14</v>
      </c>
    </row>
    <row r="545" spans="1:16" x14ac:dyDescent="0.3">
      <c r="A545" s="2" t="s">
        <v>1994</v>
      </c>
      <c r="B545" s="2" t="s">
        <v>1995</v>
      </c>
      <c r="C545" s="2" t="s">
        <v>18</v>
      </c>
      <c r="D545" s="5">
        <v>41.217751200000002</v>
      </c>
      <c r="E545" s="5">
        <v>36.458340700000001</v>
      </c>
      <c r="F545" s="2" t="s">
        <v>54</v>
      </c>
      <c r="G545" s="2" t="s">
        <v>259</v>
      </c>
      <c r="H545" s="2" t="s">
        <v>260</v>
      </c>
      <c r="I545" s="2" t="s">
        <v>260</v>
      </c>
      <c r="J545" s="2" t="s">
        <v>1996</v>
      </c>
      <c r="K545" s="2" t="s">
        <v>22</v>
      </c>
      <c r="L545" s="2" t="s">
        <v>39</v>
      </c>
      <c r="M545" s="3">
        <v>1</v>
      </c>
      <c r="N545" s="3">
        <v>1</v>
      </c>
      <c r="O545" s="9" t="s">
        <v>24</v>
      </c>
      <c r="P545" s="3">
        <v>0</v>
      </c>
    </row>
    <row r="546" spans="1:16" x14ac:dyDescent="0.3">
      <c r="A546" s="2" t="s">
        <v>1997</v>
      </c>
      <c r="B546" s="2" t="s">
        <v>1998</v>
      </c>
      <c r="C546" s="2" t="s">
        <v>18</v>
      </c>
      <c r="D546" s="5">
        <v>41.193065900000001</v>
      </c>
      <c r="E546" s="5">
        <v>36.7207778</v>
      </c>
      <c r="F546" s="2" t="s">
        <v>54</v>
      </c>
      <c r="G546" s="2" t="s">
        <v>20</v>
      </c>
      <c r="H546" s="2" t="s">
        <v>20</v>
      </c>
      <c r="I546" s="2" t="s">
        <v>1369</v>
      </c>
      <c r="J546" s="2" t="s">
        <v>1999</v>
      </c>
      <c r="K546" s="2" t="s">
        <v>22</v>
      </c>
      <c r="L546" s="2" t="s">
        <v>44</v>
      </c>
      <c r="M546" s="3">
        <v>1</v>
      </c>
      <c r="N546" s="3">
        <v>1</v>
      </c>
      <c r="O546" s="9" t="s">
        <v>24</v>
      </c>
      <c r="P546" s="3">
        <v>0</v>
      </c>
    </row>
    <row r="547" spans="1:16" x14ac:dyDescent="0.3">
      <c r="A547" s="2" t="s">
        <v>2000</v>
      </c>
      <c r="B547" s="2" t="s">
        <v>2001</v>
      </c>
      <c r="C547" s="2" t="s">
        <v>18</v>
      </c>
      <c r="D547" s="5">
        <v>41.266925000000001</v>
      </c>
      <c r="E547" s="5">
        <v>36.348379999999999</v>
      </c>
      <c r="F547" s="2" t="s">
        <v>54</v>
      </c>
      <c r="G547" s="2" t="s">
        <v>259</v>
      </c>
      <c r="H547" s="2" t="s">
        <v>260</v>
      </c>
      <c r="I547" s="2" t="s">
        <v>260</v>
      </c>
      <c r="J547" s="2" t="s">
        <v>2002</v>
      </c>
      <c r="K547" s="2" t="s">
        <v>22</v>
      </c>
      <c r="L547" s="2" t="s">
        <v>99</v>
      </c>
      <c r="M547" s="3">
        <v>1</v>
      </c>
      <c r="N547" s="3">
        <v>1</v>
      </c>
      <c r="O547" s="9" t="s">
        <v>24</v>
      </c>
      <c r="P547" s="3">
        <v>0</v>
      </c>
    </row>
    <row r="548" spans="1:16" x14ac:dyDescent="0.3">
      <c r="A548" s="2" t="s">
        <v>2003</v>
      </c>
      <c r="B548" s="2" t="s">
        <v>2004</v>
      </c>
      <c r="C548" s="2" t="s">
        <v>18</v>
      </c>
      <c r="D548" s="5">
        <v>41.488273300000003</v>
      </c>
      <c r="E548" s="5">
        <v>36.088731699999997</v>
      </c>
      <c r="F548" s="2" t="s">
        <v>2005</v>
      </c>
      <c r="G548" s="2" t="s">
        <v>28</v>
      </c>
      <c r="H548" s="2" t="s">
        <v>318</v>
      </c>
      <c r="I548" s="2" t="s">
        <v>37</v>
      </c>
      <c r="J548" s="2" t="s">
        <v>2006</v>
      </c>
      <c r="K548" s="2" t="s">
        <v>22</v>
      </c>
      <c r="L548" s="2" t="s">
        <v>23</v>
      </c>
      <c r="M548" s="3">
        <v>1</v>
      </c>
      <c r="N548" s="3">
        <v>1</v>
      </c>
      <c r="O548" s="9" t="s">
        <v>24</v>
      </c>
      <c r="P548" s="3">
        <v>93.21</v>
      </c>
    </row>
    <row r="549" spans="1:16" x14ac:dyDescent="0.3">
      <c r="A549" s="2" t="s">
        <v>2007</v>
      </c>
      <c r="B549" s="2" t="s">
        <v>2008</v>
      </c>
      <c r="C549" s="2" t="s">
        <v>18</v>
      </c>
      <c r="D549" s="5">
        <v>41.122872999999998</v>
      </c>
      <c r="E549" s="5">
        <v>37.283903799999997</v>
      </c>
      <c r="F549" s="2" t="s">
        <v>54</v>
      </c>
      <c r="G549" s="2" t="s">
        <v>1596</v>
      </c>
      <c r="H549" s="2" t="s">
        <v>1596</v>
      </c>
      <c r="I549" s="2" t="s">
        <v>1596</v>
      </c>
      <c r="J549" s="2" t="s">
        <v>2009</v>
      </c>
      <c r="K549" s="2" t="s">
        <v>63</v>
      </c>
      <c r="L549" s="2" t="s">
        <v>89</v>
      </c>
      <c r="M549" s="3">
        <v>1</v>
      </c>
      <c r="N549" s="3">
        <v>1</v>
      </c>
      <c r="O549" s="9" t="s">
        <v>24</v>
      </c>
      <c r="P549" s="3">
        <v>0</v>
      </c>
    </row>
    <row r="550" spans="1:16" x14ac:dyDescent="0.3">
      <c r="A550" s="2" t="s">
        <v>2010</v>
      </c>
      <c r="B550" s="2" t="s">
        <v>2011</v>
      </c>
      <c r="C550" s="2" t="s">
        <v>18</v>
      </c>
      <c r="D550" s="5">
        <v>41.322254399999998</v>
      </c>
      <c r="E550" s="5">
        <v>36.330899799999997</v>
      </c>
      <c r="F550" s="2" t="s">
        <v>2012</v>
      </c>
      <c r="G550" s="2" t="s">
        <v>221</v>
      </c>
      <c r="H550" s="2" t="s">
        <v>222</v>
      </c>
      <c r="I550" s="2" t="s">
        <v>222</v>
      </c>
      <c r="J550" s="2" t="s">
        <v>2013</v>
      </c>
      <c r="K550" s="2" t="s">
        <v>22</v>
      </c>
      <c r="L550" s="2" t="s">
        <v>23</v>
      </c>
      <c r="M550" s="3">
        <v>2</v>
      </c>
      <c r="N550" s="3">
        <v>1</v>
      </c>
      <c r="O550" s="9" t="s">
        <v>24</v>
      </c>
      <c r="P550" s="3">
        <v>18999.599999999999</v>
      </c>
    </row>
    <row r="551" spans="1:16" x14ac:dyDescent="0.3">
      <c r="A551" s="2" t="s">
        <v>2014</v>
      </c>
      <c r="B551" s="2" t="s">
        <v>2015</v>
      </c>
      <c r="C551" s="2" t="s">
        <v>18</v>
      </c>
      <c r="D551" s="5">
        <v>41.286951999999999</v>
      </c>
      <c r="E551" s="5">
        <v>36.338957200000003</v>
      </c>
      <c r="F551" s="2" t="s">
        <v>54</v>
      </c>
      <c r="G551" s="2" t="s">
        <v>259</v>
      </c>
      <c r="H551" s="2" t="s">
        <v>260</v>
      </c>
      <c r="I551" s="2" t="s">
        <v>260</v>
      </c>
      <c r="J551" s="2" t="s">
        <v>2016</v>
      </c>
      <c r="K551" s="2" t="s">
        <v>22</v>
      </c>
      <c r="L551" s="2" t="s">
        <v>32</v>
      </c>
      <c r="M551" s="3">
        <v>1</v>
      </c>
      <c r="N551" s="3">
        <v>1</v>
      </c>
      <c r="O551" s="9" t="s">
        <v>24</v>
      </c>
      <c r="P551" s="3">
        <v>0</v>
      </c>
    </row>
    <row r="552" spans="1:16" x14ac:dyDescent="0.3">
      <c r="A552" s="2" t="s">
        <v>2017</v>
      </c>
      <c r="B552" s="2" t="s">
        <v>2018</v>
      </c>
      <c r="C552" s="2" t="s">
        <v>18</v>
      </c>
      <c r="D552" s="5">
        <v>41.332825</v>
      </c>
      <c r="E552" s="5">
        <v>36.250518100000001</v>
      </c>
      <c r="F552" s="2" t="s">
        <v>54</v>
      </c>
      <c r="G552" s="2" t="s">
        <v>259</v>
      </c>
      <c r="H552" s="2" t="s">
        <v>260</v>
      </c>
      <c r="I552" s="2" t="s">
        <v>260</v>
      </c>
      <c r="J552" s="2" t="s">
        <v>2019</v>
      </c>
      <c r="K552" s="2" t="s">
        <v>22</v>
      </c>
      <c r="L552" s="2" t="s">
        <v>23</v>
      </c>
      <c r="M552" s="3">
        <v>1</v>
      </c>
      <c r="N552" s="3">
        <v>1</v>
      </c>
      <c r="O552" s="9" t="s">
        <v>24</v>
      </c>
      <c r="P552" s="3">
        <v>0</v>
      </c>
    </row>
    <row r="553" spans="1:16" x14ac:dyDescent="0.3">
      <c r="A553" s="2" t="s">
        <v>2020</v>
      </c>
      <c r="B553" s="2" t="s">
        <v>2021</v>
      </c>
      <c r="C553" s="2" t="s">
        <v>18</v>
      </c>
      <c r="D553" s="5">
        <v>41.125795599999996</v>
      </c>
      <c r="E553" s="5">
        <v>37.287962</v>
      </c>
      <c r="F553" s="2" t="s">
        <v>54</v>
      </c>
      <c r="G553" s="2" t="s">
        <v>259</v>
      </c>
      <c r="H553" s="2" t="s">
        <v>260</v>
      </c>
      <c r="I553" s="2" t="s">
        <v>260</v>
      </c>
      <c r="J553" s="2" t="s">
        <v>2022</v>
      </c>
      <c r="K553" s="2" t="s">
        <v>63</v>
      </c>
      <c r="L553" s="2" t="s">
        <v>89</v>
      </c>
      <c r="M553" s="3">
        <v>1</v>
      </c>
      <c r="N553" s="3">
        <v>1</v>
      </c>
      <c r="O553" s="9" t="s">
        <v>24</v>
      </c>
      <c r="P553" s="3">
        <v>0</v>
      </c>
    </row>
    <row r="554" spans="1:16" x14ac:dyDescent="0.3">
      <c r="A554" s="2" t="s">
        <v>2023</v>
      </c>
      <c r="B554" s="2" t="s">
        <v>2024</v>
      </c>
      <c r="C554" s="2" t="s">
        <v>18</v>
      </c>
      <c r="D554" s="5">
        <v>41.354815000000002</v>
      </c>
      <c r="E554" s="5">
        <v>36.233391699999999</v>
      </c>
      <c r="F554" s="2" t="s">
        <v>2025</v>
      </c>
      <c r="G554" s="2" t="s">
        <v>28</v>
      </c>
      <c r="H554" s="2" t="s">
        <v>29</v>
      </c>
      <c r="I554" s="2" t="s">
        <v>30</v>
      </c>
      <c r="J554" s="2" t="s">
        <v>2026</v>
      </c>
      <c r="K554" s="2" t="s">
        <v>22</v>
      </c>
      <c r="L554" s="2" t="s">
        <v>23</v>
      </c>
      <c r="M554" s="3">
        <v>1</v>
      </c>
      <c r="N554" s="3">
        <v>1</v>
      </c>
      <c r="O554" s="9" t="s">
        <v>54</v>
      </c>
      <c r="P554" s="3">
        <v>0</v>
      </c>
    </row>
    <row r="555" spans="1:16" x14ac:dyDescent="0.3">
      <c r="A555" s="2" t="s">
        <v>2027</v>
      </c>
      <c r="B555" s="2" t="s">
        <v>2028</v>
      </c>
      <c r="C555" s="2" t="s">
        <v>18</v>
      </c>
      <c r="D555" s="5">
        <v>41.331788983320003</v>
      </c>
      <c r="E555" s="5">
        <v>36.270244055257997</v>
      </c>
      <c r="F555" s="2" t="s">
        <v>2029</v>
      </c>
      <c r="G555" s="2" t="s">
        <v>221</v>
      </c>
      <c r="H555" s="2" t="s">
        <v>222</v>
      </c>
      <c r="I555" s="2" t="s">
        <v>222</v>
      </c>
      <c r="J555" s="2" t="s">
        <v>2030</v>
      </c>
      <c r="K555" s="2" t="s">
        <v>22</v>
      </c>
      <c r="L555" s="2" t="s">
        <v>23</v>
      </c>
      <c r="M555" s="3">
        <v>0</v>
      </c>
      <c r="N555" s="3">
        <v>0</v>
      </c>
      <c r="O555" s="9" t="s">
        <v>24</v>
      </c>
      <c r="P555" s="3">
        <v>0</v>
      </c>
    </row>
    <row r="556" spans="1:16" x14ac:dyDescent="0.3">
      <c r="A556" s="2" t="s">
        <v>2031</v>
      </c>
      <c r="B556" s="2" t="s">
        <v>2032</v>
      </c>
      <c r="C556" s="2" t="s">
        <v>18</v>
      </c>
      <c r="D556" s="5">
        <v>41.540263400000001</v>
      </c>
      <c r="E556" s="5">
        <v>35.913474200000003</v>
      </c>
      <c r="F556" s="2" t="s">
        <v>2033</v>
      </c>
      <c r="G556" s="2" t="s">
        <v>28</v>
      </c>
      <c r="H556" s="2" t="s">
        <v>29</v>
      </c>
      <c r="I556" s="2" t="s">
        <v>30</v>
      </c>
      <c r="J556" s="2" t="s">
        <v>2034</v>
      </c>
      <c r="K556" s="2" t="s">
        <v>22</v>
      </c>
      <c r="L556" s="2" t="s">
        <v>53</v>
      </c>
      <c r="M556" s="3">
        <v>0</v>
      </c>
      <c r="N556" s="3">
        <v>1</v>
      </c>
      <c r="O556" s="9" t="s">
        <v>24</v>
      </c>
      <c r="P556" s="3">
        <v>0.79</v>
      </c>
    </row>
    <row r="557" spans="1:16" x14ac:dyDescent="0.3">
      <c r="A557" s="2" t="s">
        <v>2035</v>
      </c>
      <c r="B557" s="2" t="s">
        <v>2036</v>
      </c>
      <c r="C557" s="2" t="s">
        <v>18</v>
      </c>
      <c r="D557" s="5">
        <v>41.1428315</v>
      </c>
      <c r="E557" s="5">
        <v>37.286190699999999</v>
      </c>
      <c r="F557" s="3"/>
      <c r="G557" s="2" t="s">
        <v>259</v>
      </c>
      <c r="H557" s="2" t="s">
        <v>260</v>
      </c>
      <c r="I557" s="2" t="s">
        <v>260</v>
      </c>
      <c r="J557" s="2" t="s">
        <v>2037</v>
      </c>
      <c r="K557" s="2" t="s">
        <v>63</v>
      </c>
      <c r="L557" s="2" t="s">
        <v>89</v>
      </c>
      <c r="M557" s="3">
        <v>1</v>
      </c>
      <c r="N557" s="3">
        <v>1</v>
      </c>
      <c r="O557" s="9" t="s">
        <v>24</v>
      </c>
      <c r="P557" s="3">
        <v>0</v>
      </c>
    </row>
    <row r="558" spans="1:16" x14ac:dyDescent="0.3">
      <c r="A558" s="2" t="s">
        <v>2038</v>
      </c>
      <c r="B558" s="2" t="s">
        <v>2039</v>
      </c>
      <c r="C558" s="2" t="s">
        <v>18</v>
      </c>
      <c r="D558" s="5">
        <v>41.061496400000003</v>
      </c>
      <c r="E558" s="5">
        <v>35.9779014</v>
      </c>
      <c r="F558" s="2" t="s">
        <v>1289</v>
      </c>
      <c r="G558" s="2" t="s">
        <v>221</v>
      </c>
      <c r="H558" s="2" t="s">
        <v>222</v>
      </c>
      <c r="I558" s="2" t="s">
        <v>222</v>
      </c>
      <c r="J558" s="2" t="s">
        <v>2040</v>
      </c>
      <c r="K558" s="2" t="s">
        <v>22</v>
      </c>
      <c r="L558" s="2" t="s">
        <v>224</v>
      </c>
      <c r="M558" s="3">
        <v>0</v>
      </c>
      <c r="N558" s="3">
        <v>0</v>
      </c>
      <c r="O558" s="9" t="s">
        <v>24</v>
      </c>
      <c r="P558" s="3">
        <v>0</v>
      </c>
    </row>
    <row r="559" spans="1:16" x14ac:dyDescent="0.3">
      <c r="A559" s="2" t="s">
        <v>2041</v>
      </c>
      <c r="B559" s="2" t="s">
        <v>2042</v>
      </c>
      <c r="C559" s="2" t="s">
        <v>18</v>
      </c>
      <c r="D559" s="5">
        <v>41.553882199999997</v>
      </c>
      <c r="E559" s="5">
        <v>35.887119499999997</v>
      </c>
      <c r="F559" s="2" t="s">
        <v>2043</v>
      </c>
      <c r="G559" s="2" t="s">
        <v>28</v>
      </c>
      <c r="H559" s="2" t="s">
        <v>29</v>
      </c>
      <c r="I559" s="2" t="s">
        <v>37</v>
      </c>
      <c r="J559" s="2" t="s">
        <v>2044</v>
      </c>
      <c r="K559" s="2" t="s">
        <v>22</v>
      </c>
      <c r="L559" s="2" t="s">
        <v>53</v>
      </c>
      <c r="M559" s="3">
        <v>1</v>
      </c>
      <c r="N559" s="3">
        <v>1</v>
      </c>
      <c r="O559" s="9" t="s">
        <v>24</v>
      </c>
      <c r="P559" s="3">
        <v>-1459.42</v>
      </c>
    </row>
    <row r="560" spans="1:16" x14ac:dyDescent="0.3">
      <c r="A560" s="2" t="s">
        <v>2045</v>
      </c>
      <c r="B560" s="2" t="s">
        <v>2046</v>
      </c>
      <c r="C560" s="2" t="s">
        <v>18</v>
      </c>
      <c r="D560" s="5">
        <v>41.802336599999997</v>
      </c>
      <c r="E560" s="5">
        <v>35.192487800000002</v>
      </c>
      <c r="F560" s="2" t="s">
        <v>2047</v>
      </c>
      <c r="G560" s="2" t="s">
        <v>28</v>
      </c>
      <c r="H560" s="2" t="s">
        <v>29</v>
      </c>
      <c r="I560" s="2" t="s">
        <v>37</v>
      </c>
      <c r="J560" s="2" t="s">
        <v>2048</v>
      </c>
      <c r="K560" s="2" t="s">
        <v>154</v>
      </c>
      <c r="L560" s="2" t="s">
        <v>302</v>
      </c>
      <c r="M560" s="3">
        <v>1</v>
      </c>
      <c r="N560" s="3">
        <v>1</v>
      </c>
      <c r="O560" s="9" t="s">
        <v>24</v>
      </c>
      <c r="P560" s="3">
        <v>-2376.33</v>
      </c>
    </row>
    <row r="561" spans="1:16" x14ac:dyDescent="0.3">
      <c r="A561" s="2" t="s">
        <v>2049</v>
      </c>
      <c r="B561" s="2" t="s">
        <v>2050</v>
      </c>
      <c r="C561" s="2" t="s">
        <v>18</v>
      </c>
      <c r="D561" s="5">
        <v>41.216583800000002</v>
      </c>
      <c r="E561" s="5">
        <v>36.613197200000002</v>
      </c>
      <c r="F561" s="2" t="s">
        <v>2051</v>
      </c>
      <c r="G561" s="2" t="s">
        <v>28</v>
      </c>
      <c r="H561" s="2" t="s">
        <v>29</v>
      </c>
      <c r="I561" s="2" t="s">
        <v>30</v>
      </c>
      <c r="J561" s="2" t="s">
        <v>2052</v>
      </c>
      <c r="K561" s="2" t="s">
        <v>22</v>
      </c>
      <c r="L561" s="2" t="s">
        <v>44</v>
      </c>
      <c r="M561" s="3">
        <v>3</v>
      </c>
      <c r="N561" s="3">
        <v>1</v>
      </c>
      <c r="O561" s="9" t="s">
        <v>24</v>
      </c>
      <c r="P561" s="3">
        <v>-5786.28</v>
      </c>
    </row>
    <row r="562" spans="1:16" x14ac:dyDescent="0.3">
      <c r="A562" s="2" t="s">
        <v>2053</v>
      </c>
      <c r="B562" s="2" t="s">
        <v>2054</v>
      </c>
      <c r="C562" s="2" t="s">
        <v>18</v>
      </c>
      <c r="D562" s="5">
        <v>41.290517199999996</v>
      </c>
      <c r="E562" s="5">
        <v>36.315637000000002</v>
      </c>
      <c r="F562" s="2" t="s">
        <v>2055</v>
      </c>
      <c r="G562" s="2" t="s">
        <v>28</v>
      </c>
      <c r="H562" s="2" t="s">
        <v>36</v>
      </c>
      <c r="I562" s="2" t="s">
        <v>37</v>
      </c>
      <c r="J562" s="2" t="s">
        <v>2056</v>
      </c>
      <c r="K562" s="2" t="s">
        <v>22</v>
      </c>
      <c r="L562" s="2" t="s">
        <v>32</v>
      </c>
      <c r="M562" s="3">
        <v>1</v>
      </c>
      <c r="N562" s="3">
        <v>1</v>
      </c>
      <c r="O562" s="9" t="s">
        <v>24</v>
      </c>
      <c r="P562" s="3">
        <v>0</v>
      </c>
    </row>
    <row r="563" spans="1:16" x14ac:dyDescent="0.3">
      <c r="A563" s="2" t="s">
        <v>2057</v>
      </c>
      <c r="B563" s="2" t="s">
        <v>2058</v>
      </c>
      <c r="C563" s="2" t="s">
        <v>18</v>
      </c>
      <c r="D563" s="5">
        <v>41.269637299999999</v>
      </c>
      <c r="E563" s="5">
        <v>36.348700800000003</v>
      </c>
      <c r="F563" s="2" t="s">
        <v>1720</v>
      </c>
      <c r="G563" s="2" t="s">
        <v>28</v>
      </c>
      <c r="H563" s="2" t="s">
        <v>2059</v>
      </c>
      <c r="I563" s="2" t="s">
        <v>37</v>
      </c>
      <c r="J563" s="2" t="s">
        <v>2060</v>
      </c>
      <c r="K563" s="2" t="s">
        <v>22</v>
      </c>
      <c r="L563" s="2" t="s">
        <v>99</v>
      </c>
      <c r="M563" s="3">
        <v>1</v>
      </c>
      <c r="N563" s="3">
        <v>1</v>
      </c>
      <c r="O563" s="9" t="s">
        <v>54</v>
      </c>
      <c r="P563" s="3">
        <v>0</v>
      </c>
    </row>
    <row r="564" spans="1:16" x14ac:dyDescent="0.3">
      <c r="A564" s="2" t="s">
        <v>2061</v>
      </c>
      <c r="B564" s="2" t="s">
        <v>2062</v>
      </c>
      <c r="C564" s="2" t="s">
        <v>18</v>
      </c>
      <c r="D564" s="5">
        <v>41.302838399999999</v>
      </c>
      <c r="E564" s="5">
        <v>36.249269200000001</v>
      </c>
      <c r="F564" s="2" t="s">
        <v>2063</v>
      </c>
      <c r="G564" s="2" t="s">
        <v>28</v>
      </c>
      <c r="H564" s="2" t="s">
        <v>29</v>
      </c>
      <c r="I564" s="2" t="s">
        <v>37</v>
      </c>
      <c r="J564" s="2" t="s">
        <v>2064</v>
      </c>
      <c r="K564" s="2" t="s">
        <v>22</v>
      </c>
      <c r="L564" s="2" t="s">
        <v>32</v>
      </c>
      <c r="M564" s="3">
        <v>1</v>
      </c>
      <c r="N564" s="3">
        <v>1</v>
      </c>
      <c r="O564" s="9" t="s">
        <v>24</v>
      </c>
      <c r="P564" s="3">
        <v>-1.93</v>
      </c>
    </row>
    <row r="565" spans="1:16" x14ac:dyDescent="0.3">
      <c r="A565" s="2" t="s">
        <v>2065</v>
      </c>
      <c r="B565" s="2" t="s">
        <v>2066</v>
      </c>
      <c r="C565" s="2" t="s">
        <v>18</v>
      </c>
      <c r="D565" s="5">
        <v>41.264423999999998</v>
      </c>
      <c r="E565" s="5">
        <v>36.324128399999999</v>
      </c>
      <c r="F565" s="2" t="s">
        <v>2067</v>
      </c>
      <c r="G565" s="2" t="s">
        <v>28</v>
      </c>
      <c r="H565" s="2" t="s">
        <v>29</v>
      </c>
      <c r="I565" s="2" t="s">
        <v>37</v>
      </c>
      <c r="J565" s="2" t="s">
        <v>2068</v>
      </c>
      <c r="K565" s="2" t="s">
        <v>22</v>
      </c>
      <c r="L565" s="2" t="s">
        <v>32</v>
      </c>
      <c r="M565" s="3">
        <v>1</v>
      </c>
      <c r="N565" s="3">
        <v>1</v>
      </c>
      <c r="O565" s="9" t="s">
        <v>24</v>
      </c>
      <c r="P565" s="3">
        <v>0</v>
      </c>
    </row>
    <row r="566" spans="1:16" x14ac:dyDescent="0.3">
      <c r="A566" s="2" t="s">
        <v>2069</v>
      </c>
      <c r="B566" s="2" t="s">
        <v>2070</v>
      </c>
      <c r="C566" s="2" t="s">
        <v>18</v>
      </c>
      <c r="D566" s="5">
        <v>40.970020300000002</v>
      </c>
      <c r="E566" s="5">
        <v>35.662725899999998</v>
      </c>
      <c r="F566" s="2" t="s">
        <v>2071</v>
      </c>
      <c r="G566" s="2" t="s">
        <v>28</v>
      </c>
      <c r="H566" s="2" t="s">
        <v>36</v>
      </c>
      <c r="I566" s="2" t="s">
        <v>37</v>
      </c>
      <c r="J566" s="2" t="s">
        <v>2072</v>
      </c>
      <c r="K566" s="2" t="s">
        <v>22</v>
      </c>
      <c r="L566" s="2" t="s">
        <v>193</v>
      </c>
      <c r="M566" s="3">
        <v>1</v>
      </c>
      <c r="N566" s="3">
        <v>1</v>
      </c>
      <c r="O566" s="9" t="s">
        <v>24</v>
      </c>
      <c r="P566" s="3">
        <v>0</v>
      </c>
    </row>
    <row r="567" spans="1:16" x14ac:dyDescent="0.3">
      <c r="A567" s="2" t="s">
        <v>2073</v>
      </c>
      <c r="B567" s="2" t="s">
        <v>2074</v>
      </c>
      <c r="C567" s="2" t="s">
        <v>18</v>
      </c>
      <c r="D567" s="5">
        <v>41.293316099999998</v>
      </c>
      <c r="E567" s="5">
        <v>36.260813800000001</v>
      </c>
      <c r="F567" s="2" t="s">
        <v>2075</v>
      </c>
      <c r="G567" s="2" t="s">
        <v>28</v>
      </c>
      <c r="H567" s="2" t="s">
        <v>29</v>
      </c>
      <c r="I567" s="2" t="s">
        <v>37</v>
      </c>
      <c r="J567" s="2" t="s">
        <v>2076</v>
      </c>
      <c r="K567" s="2" t="s">
        <v>22</v>
      </c>
      <c r="L567" s="2" t="s">
        <v>32</v>
      </c>
      <c r="M567" s="3">
        <v>0</v>
      </c>
      <c r="N567" s="3">
        <v>0</v>
      </c>
      <c r="O567" s="9" t="s">
        <v>54</v>
      </c>
      <c r="P567" s="3">
        <v>0</v>
      </c>
    </row>
    <row r="568" spans="1:16" x14ac:dyDescent="0.3">
      <c r="A568" s="2" t="s">
        <v>2077</v>
      </c>
      <c r="B568" s="2" t="s">
        <v>2078</v>
      </c>
      <c r="C568" s="2" t="s">
        <v>18</v>
      </c>
      <c r="D568" s="5">
        <v>41.284948499999999</v>
      </c>
      <c r="E568" s="5">
        <v>36.313237100000002</v>
      </c>
      <c r="F568" s="2" t="s">
        <v>2079</v>
      </c>
      <c r="G568" s="2" t="s">
        <v>28</v>
      </c>
      <c r="H568" s="2" t="s">
        <v>29</v>
      </c>
      <c r="I568" s="2" t="s">
        <v>37</v>
      </c>
      <c r="J568" s="2" t="s">
        <v>2080</v>
      </c>
      <c r="K568" s="2" t="s">
        <v>22</v>
      </c>
      <c r="L568" s="2" t="s">
        <v>32</v>
      </c>
      <c r="M568" s="3">
        <v>0</v>
      </c>
      <c r="N568" s="3">
        <v>1</v>
      </c>
      <c r="O568" s="9" t="s">
        <v>24</v>
      </c>
      <c r="P568" s="3">
        <v>-219.59</v>
      </c>
    </row>
    <row r="569" spans="1:16" x14ac:dyDescent="0.3">
      <c r="A569" s="2" t="s">
        <v>2081</v>
      </c>
      <c r="B569" s="2" t="s">
        <v>2082</v>
      </c>
      <c r="C569" s="2" t="s">
        <v>18</v>
      </c>
      <c r="D569" s="5">
        <v>41.051012900000003</v>
      </c>
      <c r="E569" s="5">
        <v>35.660114100000001</v>
      </c>
      <c r="F569" s="2" t="s">
        <v>2083</v>
      </c>
      <c r="G569" s="2" t="s">
        <v>28</v>
      </c>
      <c r="H569" s="2" t="s">
        <v>29</v>
      </c>
      <c r="I569" s="2" t="s">
        <v>37</v>
      </c>
      <c r="J569" s="2" t="s">
        <v>2084</v>
      </c>
      <c r="K569" s="2" t="s">
        <v>22</v>
      </c>
      <c r="L569" s="2" t="s">
        <v>193</v>
      </c>
      <c r="M569" s="3">
        <v>1</v>
      </c>
      <c r="N569" s="3">
        <v>1</v>
      </c>
      <c r="O569" s="9" t="s">
        <v>24</v>
      </c>
      <c r="P569" s="3">
        <v>0</v>
      </c>
    </row>
    <row r="570" spans="1:16" x14ac:dyDescent="0.3">
      <c r="A570" s="2" t="s">
        <v>2085</v>
      </c>
      <c r="B570" s="2" t="s">
        <v>2086</v>
      </c>
      <c r="C570" s="2" t="s">
        <v>18</v>
      </c>
      <c r="D570" s="5">
        <v>41.204913699999999</v>
      </c>
      <c r="E570" s="5">
        <v>36.869017700000001</v>
      </c>
      <c r="F570" s="2" t="s">
        <v>2087</v>
      </c>
      <c r="G570" s="2" t="s">
        <v>28</v>
      </c>
      <c r="H570" s="2" t="s">
        <v>29</v>
      </c>
      <c r="I570" s="2" t="s">
        <v>37</v>
      </c>
      <c r="J570" s="2" t="s">
        <v>2088</v>
      </c>
      <c r="K570" s="2" t="s">
        <v>22</v>
      </c>
      <c r="L570" s="2" t="s">
        <v>328</v>
      </c>
      <c r="M570" s="3">
        <v>1</v>
      </c>
      <c r="N570" s="3">
        <v>1</v>
      </c>
      <c r="O570" s="9" t="s">
        <v>54</v>
      </c>
      <c r="P570" s="3">
        <v>0</v>
      </c>
    </row>
    <row r="571" spans="1:16" x14ac:dyDescent="0.3">
      <c r="A571" s="2" t="s">
        <v>2089</v>
      </c>
      <c r="B571" s="2" t="s">
        <v>2090</v>
      </c>
      <c r="C571" s="2" t="s">
        <v>18</v>
      </c>
      <c r="D571" s="5">
        <v>41.072190200000001</v>
      </c>
      <c r="E571" s="5">
        <v>36.034370099999997</v>
      </c>
      <c r="F571" s="2" t="s">
        <v>54</v>
      </c>
      <c r="G571" s="2" t="s">
        <v>259</v>
      </c>
      <c r="H571" s="2" t="s">
        <v>260</v>
      </c>
      <c r="I571" s="2" t="s">
        <v>260</v>
      </c>
      <c r="J571" s="2" t="s">
        <v>2091</v>
      </c>
      <c r="K571" s="2" t="s">
        <v>22</v>
      </c>
      <c r="L571" s="2" t="s">
        <v>224</v>
      </c>
      <c r="M571" s="3">
        <v>1</v>
      </c>
      <c r="N571" s="3">
        <v>1</v>
      </c>
      <c r="O571" s="9" t="s">
        <v>24</v>
      </c>
      <c r="P571" s="3">
        <v>0</v>
      </c>
    </row>
    <row r="572" spans="1:16" x14ac:dyDescent="0.3">
      <c r="A572" s="2" t="s">
        <v>2092</v>
      </c>
      <c r="B572" s="2" t="s">
        <v>2093</v>
      </c>
      <c r="C572" s="2" t="s">
        <v>18</v>
      </c>
      <c r="D572" s="5">
        <v>41.198546700000001</v>
      </c>
      <c r="E572" s="5">
        <v>36.718296000000002</v>
      </c>
      <c r="F572" s="2" t="s">
        <v>2094</v>
      </c>
      <c r="G572" s="2" t="s">
        <v>28</v>
      </c>
      <c r="H572" s="2" t="s">
        <v>318</v>
      </c>
      <c r="I572" s="2" t="s">
        <v>37</v>
      </c>
      <c r="J572" s="2" t="s">
        <v>2095</v>
      </c>
      <c r="K572" s="2" t="s">
        <v>22</v>
      </c>
      <c r="L572" s="2" t="s">
        <v>44</v>
      </c>
      <c r="M572" s="3">
        <v>2</v>
      </c>
      <c r="N572" s="3">
        <v>1</v>
      </c>
      <c r="O572" s="9" t="s">
        <v>24</v>
      </c>
      <c r="P572" s="3">
        <v>-917.47</v>
      </c>
    </row>
    <row r="573" spans="1:16" x14ac:dyDescent="0.3">
      <c r="A573" s="2" t="s">
        <v>2096</v>
      </c>
      <c r="B573" s="2" t="s">
        <v>2097</v>
      </c>
      <c r="C573" s="2" t="s">
        <v>18</v>
      </c>
      <c r="D573" s="5">
        <v>41.284807600000001</v>
      </c>
      <c r="E573" s="5">
        <v>36.226448499999996</v>
      </c>
      <c r="F573" s="2" t="s">
        <v>2098</v>
      </c>
      <c r="G573" s="2" t="s">
        <v>28</v>
      </c>
      <c r="H573" s="2" t="s">
        <v>29</v>
      </c>
      <c r="I573" s="2" t="s">
        <v>37</v>
      </c>
      <c r="J573" s="2" t="s">
        <v>2099</v>
      </c>
      <c r="K573" s="2" t="s">
        <v>22</v>
      </c>
      <c r="L573" s="2" t="s">
        <v>32</v>
      </c>
      <c r="M573" s="3">
        <v>1</v>
      </c>
      <c r="N573" s="3">
        <v>1</v>
      </c>
      <c r="O573" s="9" t="s">
        <v>24</v>
      </c>
      <c r="P573" s="3">
        <v>-1165.74</v>
      </c>
    </row>
    <row r="574" spans="1:16" x14ac:dyDescent="0.3">
      <c r="A574" s="2" t="s">
        <v>2100</v>
      </c>
      <c r="B574" s="2" t="s">
        <v>2101</v>
      </c>
      <c r="C574" s="2" t="s">
        <v>18</v>
      </c>
      <c r="D574" s="5">
        <v>41.2000697</v>
      </c>
      <c r="E574" s="5">
        <v>36.468778299999997</v>
      </c>
      <c r="F574" s="2" t="s">
        <v>2102</v>
      </c>
      <c r="G574" s="2" t="s">
        <v>28</v>
      </c>
      <c r="H574" s="2" t="s">
        <v>29</v>
      </c>
      <c r="I574" s="2" t="s">
        <v>37</v>
      </c>
      <c r="J574" s="2" t="s">
        <v>2103</v>
      </c>
      <c r="K574" s="2" t="s">
        <v>22</v>
      </c>
      <c r="L574" s="2" t="s">
        <v>39</v>
      </c>
      <c r="M574" s="3">
        <v>0</v>
      </c>
      <c r="N574" s="3">
        <v>1</v>
      </c>
      <c r="O574" s="9" t="s">
        <v>24</v>
      </c>
      <c r="P574" s="3">
        <v>395.97</v>
      </c>
    </row>
    <row r="575" spans="1:16" x14ac:dyDescent="0.3">
      <c r="A575" s="2" t="s">
        <v>2104</v>
      </c>
      <c r="B575" s="2" t="s">
        <v>2105</v>
      </c>
      <c r="C575" s="2" t="s">
        <v>18</v>
      </c>
      <c r="D575" s="5">
        <v>41.809579800000002</v>
      </c>
      <c r="E575" s="5">
        <v>35.093645700000003</v>
      </c>
      <c r="F575" s="2" t="s">
        <v>2106</v>
      </c>
      <c r="G575" s="2" t="s">
        <v>28</v>
      </c>
      <c r="H575" s="2" t="s">
        <v>29</v>
      </c>
      <c r="I575" s="2" t="s">
        <v>37</v>
      </c>
      <c r="J575" s="2" t="s">
        <v>2107</v>
      </c>
      <c r="K575" s="2" t="s">
        <v>154</v>
      </c>
      <c r="L575" s="2" t="s">
        <v>302</v>
      </c>
      <c r="M575" s="3">
        <v>1</v>
      </c>
      <c r="N575" s="3">
        <v>1</v>
      </c>
      <c r="O575" s="9" t="s">
        <v>24</v>
      </c>
      <c r="P575" s="3">
        <v>0</v>
      </c>
    </row>
    <row r="576" spans="1:16" x14ac:dyDescent="0.3">
      <c r="A576" s="2" t="s">
        <v>2108</v>
      </c>
      <c r="B576" s="2" t="s">
        <v>2109</v>
      </c>
      <c r="C576" s="2" t="s">
        <v>18</v>
      </c>
      <c r="D576" s="5">
        <v>41.809579800000002</v>
      </c>
      <c r="E576" s="5">
        <v>35.093645700000003</v>
      </c>
      <c r="F576" s="2" t="s">
        <v>2110</v>
      </c>
      <c r="G576" s="2" t="s">
        <v>28</v>
      </c>
      <c r="H576" s="2" t="s">
        <v>29</v>
      </c>
      <c r="I576" s="2" t="s">
        <v>37</v>
      </c>
      <c r="J576" s="2" t="s">
        <v>2107</v>
      </c>
      <c r="K576" s="2" t="s">
        <v>154</v>
      </c>
      <c r="L576" s="2" t="s">
        <v>302</v>
      </c>
      <c r="M576" s="3">
        <v>2</v>
      </c>
      <c r="N576" s="3">
        <v>1</v>
      </c>
      <c r="O576" s="9" t="s">
        <v>24</v>
      </c>
      <c r="P576" s="3">
        <v>-1046.4000000000001</v>
      </c>
    </row>
    <row r="577" spans="1:16" x14ac:dyDescent="0.3">
      <c r="A577" s="2" t="s">
        <v>2111</v>
      </c>
      <c r="B577" s="2" t="s">
        <v>2112</v>
      </c>
      <c r="C577" s="2" t="s">
        <v>18</v>
      </c>
      <c r="D577" s="5">
        <v>41.236068199999998</v>
      </c>
      <c r="E577" s="5">
        <v>36.422382200000001</v>
      </c>
      <c r="F577" s="2" t="s">
        <v>2113</v>
      </c>
      <c r="G577" s="2" t="s">
        <v>259</v>
      </c>
      <c r="H577" s="2" t="s">
        <v>260</v>
      </c>
      <c r="I577" s="2" t="s">
        <v>260</v>
      </c>
      <c r="J577" s="2" t="s">
        <v>2114</v>
      </c>
      <c r="K577" s="2" t="s">
        <v>22</v>
      </c>
      <c r="L577" s="2" t="s">
        <v>39</v>
      </c>
      <c r="M577" s="3">
        <v>1</v>
      </c>
      <c r="N577" s="3">
        <v>1</v>
      </c>
      <c r="O577" s="9" t="s">
        <v>24</v>
      </c>
      <c r="P577" s="3">
        <v>0</v>
      </c>
    </row>
    <row r="578" spans="1:16" x14ac:dyDescent="0.3">
      <c r="A578" s="2" t="s">
        <v>2115</v>
      </c>
      <c r="B578" s="2" t="s">
        <v>2116</v>
      </c>
      <c r="C578" s="2" t="s">
        <v>18</v>
      </c>
      <c r="D578" s="5">
        <v>40.949758500000002</v>
      </c>
      <c r="E578" s="5">
        <v>36.978337600000003</v>
      </c>
      <c r="F578" s="2" t="s">
        <v>2117</v>
      </c>
      <c r="G578" s="2" t="s">
        <v>28</v>
      </c>
      <c r="H578" s="2" t="s">
        <v>29</v>
      </c>
      <c r="I578" s="2" t="s">
        <v>37</v>
      </c>
      <c r="J578" s="2" t="s">
        <v>2118</v>
      </c>
      <c r="K578" s="2" t="s">
        <v>63</v>
      </c>
      <c r="L578" s="2" t="s">
        <v>94</v>
      </c>
      <c r="M578" s="3">
        <v>1</v>
      </c>
      <c r="N578" s="3">
        <v>1</v>
      </c>
      <c r="O578" s="9" t="s">
        <v>24</v>
      </c>
      <c r="P578" s="3">
        <v>0</v>
      </c>
    </row>
    <row r="579" spans="1:16" x14ac:dyDescent="0.3">
      <c r="A579" s="2" t="s">
        <v>2119</v>
      </c>
      <c r="B579" s="2" t="s">
        <v>2120</v>
      </c>
      <c r="C579" s="2" t="s">
        <v>18</v>
      </c>
      <c r="D579" s="5">
        <v>41.136335799999998</v>
      </c>
      <c r="E579" s="5">
        <v>35.4760518</v>
      </c>
      <c r="F579" s="2" t="s">
        <v>2121</v>
      </c>
      <c r="G579" s="2" t="s">
        <v>28</v>
      </c>
      <c r="H579" s="2" t="s">
        <v>29</v>
      </c>
      <c r="I579" s="2" t="s">
        <v>37</v>
      </c>
      <c r="J579" s="2" t="s">
        <v>2122</v>
      </c>
      <c r="K579" s="2" t="s">
        <v>22</v>
      </c>
      <c r="L579" s="2" t="s">
        <v>164</v>
      </c>
      <c r="M579" s="3">
        <v>0</v>
      </c>
      <c r="N579" s="3">
        <v>0</v>
      </c>
      <c r="O579" s="9" t="s">
        <v>54</v>
      </c>
      <c r="P579" s="3">
        <v>0</v>
      </c>
    </row>
    <row r="580" spans="1:16" x14ac:dyDescent="0.3">
      <c r="A580" s="2" t="s">
        <v>2123</v>
      </c>
      <c r="B580" s="2" t="s">
        <v>2124</v>
      </c>
      <c r="C580" s="2" t="s">
        <v>18</v>
      </c>
      <c r="D580" s="5">
        <v>41.251233599999999</v>
      </c>
      <c r="E580" s="5">
        <v>36.319329699999997</v>
      </c>
      <c r="F580" s="2" t="s">
        <v>54</v>
      </c>
      <c r="G580" s="2" t="s">
        <v>259</v>
      </c>
      <c r="H580" s="2" t="s">
        <v>260</v>
      </c>
      <c r="I580" s="2" t="s">
        <v>260</v>
      </c>
      <c r="J580" s="2" t="s">
        <v>2125</v>
      </c>
      <c r="K580" s="2" t="s">
        <v>22</v>
      </c>
      <c r="L580" s="2" t="s">
        <v>99</v>
      </c>
      <c r="M580" s="3">
        <v>1</v>
      </c>
      <c r="N580" s="3">
        <v>1</v>
      </c>
      <c r="O580" s="9" t="s">
        <v>24</v>
      </c>
      <c r="P580" s="3">
        <v>0</v>
      </c>
    </row>
    <row r="581" spans="1:16" x14ac:dyDescent="0.3">
      <c r="A581" s="2" t="s">
        <v>2126</v>
      </c>
      <c r="B581" s="2" t="s">
        <v>2127</v>
      </c>
      <c r="C581" s="2" t="s">
        <v>18</v>
      </c>
      <c r="D581" s="5">
        <v>41.200928900000001</v>
      </c>
      <c r="E581" s="5">
        <v>36.727679999999999</v>
      </c>
      <c r="F581" s="2" t="s">
        <v>2128</v>
      </c>
      <c r="G581" s="2" t="s">
        <v>221</v>
      </c>
      <c r="H581" s="2" t="s">
        <v>222</v>
      </c>
      <c r="I581" s="2" t="s">
        <v>222</v>
      </c>
      <c r="J581" s="2" t="s">
        <v>2129</v>
      </c>
      <c r="K581" s="2" t="s">
        <v>22</v>
      </c>
      <c r="L581" s="2" t="s">
        <v>44</v>
      </c>
      <c r="M581" s="3">
        <v>2</v>
      </c>
      <c r="N581" s="3">
        <v>1</v>
      </c>
      <c r="O581" s="9" t="s">
        <v>24</v>
      </c>
      <c r="P581" s="3">
        <v>-752.38</v>
      </c>
    </row>
    <row r="582" spans="1:16" x14ac:dyDescent="0.3">
      <c r="A582" s="2" t="s">
        <v>2130</v>
      </c>
      <c r="B582" s="2" t="s">
        <v>2131</v>
      </c>
      <c r="C582" s="2" t="s">
        <v>18</v>
      </c>
      <c r="D582" s="5">
        <v>41.293295700000002</v>
      </c>
      <c r="E582" s="5">
        <v>36.260809000000002</v>
      </c>
      <c r="F582" s="2" t="s">
        <v>2132</v>
      </c>
      <c r="G582" s="2" t="s">
        <v>28</v>
      </c>
      <c r="H582" s="2" t="s">
        <v>29</v>
      </c>
      <c r="I582" s="2" t="s">
        <v>37</v>
      </c>
      <c r="J582" s="2" t="s">
        <v>2133</v>
      </c>
      <c r="K582" s="2" t="s">
        <v>22</v>
      </c>
      <c r="L582" s="2" t="s">
        <v>164</v>
      </c>
      <c r="M582" s="3">
        <v>0</v>
      </c>
      <c r="N582" s="3">
        <v>0</v>
      </c>
      <c r="O582" s="9" t="s">
        <v>54</v>
      </c>
      <c r="P582" s="3">
        <v>0</v>
      </c>
    </row>
    <row r="583" spans="1:16" x14ac:dyDescent="0.3">
      <c r="A583" s="2" t="s">
        <v>2134</v>
      </c>
      <c r="B583" s="2" t="s">
        <v>2135</v>
      </c>
      <c r="C583" s="2" t="s">
        <v>18</v>
      </c>
      <c r="D583" s="5">
        <v>41.293648300000001</v>
      </c>
      <c r="E583" s="5">
        <v>36.320751700000002</v>
      </c>
      <c r="F583" s="2" t="s">
        <v>54</v>
      </c>
      <c r="G583" s="2" t="s">
        <v>20</v>
      </c>
      <c r="H583" s="2" t="s">
        <v>20</v>
      </c>
      <c r="I583" s="2" t="s">
        <v>1369</v>
      </c>
      <c r="J583" s="2" t="s">
        <v>2136</v>
      </c>
      <c r="K583" s="2" t="s">
        <v>22</v>
      </c>
      <c r="L583" s="2" t="s">
        <v>32</v>
      </c>
      <c r="M583" s="3">
        <v>1</v>
      </c>
      <c r="N583" s="3">
        <v>1</v>
      </c>
      <c r="O583" s="9" t="s">
        <v>54</v>
      </c>
      <c r="P583" s="3">
        <v>0</v>
      </c>
    </row>
    <row r="584" spans="1:16" x14ac:dyDescent="0.3">
      <c r="A584" s="2" t="s">
        <v>2137</v>
      </c>
      <c r="B584" s="2" t="s">
        <v>2138</v>
      </c>
      <c r="C584" s="2" t="s">
        <v>18</v>
      </c>
      <c r="D584" s="5">
        <v>41.130737699999997</v>
      </c>
      <c r="E584" s="5">
        <v>37.104331700000003</v>
      </c>
      <c r="F584" s="2" t="s">
        <v>54</v>
      </c>
      <c r="G584" s="2" t="s">
        <v>20</v>
      </c>
      <c r="H584" s="2" t="s">
        <v>20</v>
      </c>
      <c r="I584" s="2" t="s">
        <v>1369</v>
      </c>
      <c r="J584" s="2" t="s">
        <v>2139</v>
      </c>
      <c r="K584" s="2" t="s">
        <v>22</v>
      </c>
      <c r="L584" s="2" t="s">
        <v>328</v>
      </c>
      <c r="M584" s="3">
        <v>0</v>
      </c>
      <c r="N584" s="3">
        <v>0</v>
      </c>
      <c r="O584" s="9" t="s">
        <v>54</v>
      </c>
      <c r="P584" s="3">
        <v>0</v>
      </c>
    </row>
    <row r="585" spans="1:16" x14ac:dyDescent="0.3">
      <c r="A585" s="2" t="s">
        <v>2140</v>
      </c>
      <c r="B585" s="2" t="s">
        <v>2141</v>
      </c>
      <c r="C585" s="2" t="s">
        <v>18</v>
      </c>
      <c r="D585" s="5">
        <v>41.130549999999999</v>
      </c>
      <c r="E585" s="5">
        <v>36.8190867</v>
      </c>
      <c r="F585" s="2" t="s">
        <v>54</v>
      </c>
      <c r="G585" s="2" t="s">
        <v>20</v>
      </c>
      <c r="H585" s="2" t="s">
        <v>20</v>
      </c>
      <c r="I585" s="2" t="s">
        <v>1369</v>
      </c>
      <c r="J585" s="2" t="s">
        <v>2142</v>
      </c>
      <c r="K585" s="2" t="s">
        <v>22</v>
      </c>
      <c r="L585" s="2" t="s">
        <v>476</v>
      </c>
      <c r="M585" s="3">
        <v>1</v>
      </c>
      <c r="N585" s="3">
        <v>1</v>
      </c>
      <c r="O585" s="9" t="s">
        <v>24</v>
      </c>
      <c r="P585" s="3">
        <v>0</v>
      </c>
    </row>
    <row r="586" spans="1:16" x14ac:dyDescent="0.3">
      <c r="A586" s="2" t="s">
        <v>2143</v>
      </c>
      <c r="B586" s="2" t="s">
        <v>2144</v>
      </c>
      <c r="C586" s="2" t="s">
        <v>18</v>
      </c>
      <c r="D586" s="5">
        <v>41.324500423000003</v>
      </c>
      <c r="E586" s="5">
        <v>36.290799100000001</v>
      </c>
      <c r="F586" s="2" t="s">
        <v>54</v>
      </c>
      <c r="G586" s="2" t="s">
        <v>259</v>
      </c>
      <c r="H586" s="2" t="s">
        <v>260</v>
      </c>
      <c r="I586" s="2" t="s">
        <v>260</v>
      </c>
      <c r="J586" s="2" t="s">
        <v>2145</v>
      </c>
      <c r="K586" s="2" t="s">
        <v>22</v>
      </c>
      <c r="L586" s="2" t="s">
        <v>23</v>
      </c>
      <c r="M586" s="3">
        <v>1</v>
      </c>
      <c r="N586" s="3">
        <v>1</v>
      </c>
      <c r="O586" s="9" t="s">
        <v>24</v>
      </c>
      <c r="P586" s="3">
        <v>0</v>
      </c>
    </row>
    <row r="587" spans="1:16" x14ac:dyDescent="0.3">
      <c r="A587" s="2" t="s">
        <v>2146</v>
      </c>
      <c r="B587" s="2" t="s">
        <v>2147</v>
      </c>
      <c r="C587" s="2" t="s">
        <v>18</v>
      </c>
      <c r="D587" s="5">
        <v>41.257768900000002</v>
      </c>
      <c r="E587" s="5">
        <v>36.345968599999999</v>
      </c>
      <c r="F587" s="2" t="s">
        <v>2148</v>
      </c>
      <c r="G587" s="2" t="s">
        <v>28</v>
      </c>
      <c r="H587" s="2" t="s">
        <v>29</v>
      </c>
      <c r="I587" s="2" t="s">
        <v>37</v>
      </c>
      <c r="J587" s="2" t="s">
        <v>2149</v>
      </c>
      <c r="K587" s="2" t="s">
        <v>22</v>
      </c>
      <c r="L587" s="2" t="s">
        <v>99</v>
      </c>
      <c r="M587" s="3">
        <v>0</v>
      </c>
      <c r="N587" s="3">
        <v>1</v>
      </c>
      <c r="O587" s="9" t="s">
        <v>24</v>
      </c>
      <c r="P587" s="3">
        <v>0</v>
      </c>
    </row>
    <row r="588" spans="1:16" x14ac:dyDescent="0.3">
      <c r="A588" s="2" t="s">
        <v>2150</v>
      </c>
      <c r="B588" s="2" t="s">
        <v>2151</v>
      </c>
      <c r="C588" s="2" t="s">
        <v>18</v>
      </c>
      <c r="D588" s="5">
        <v>41.104220400000003</v>
      </c>
      <c r="E588" s="5">
        <v>35.349251899999999</v>
      </c>
      <c r="F588" s="2" t="s">
        <v>2152</v>
      </c>
      <c r="G588" s="2" t="s">
        <v>28</v>
      </c>
      <c r="H588" s="2" t="s">
        <v>29</v>
      </c>
      <c r="I588" s="2" t="s">
        <v>37</v>
      </c>
      <c r="J588" s="2" t="s">
        <v>2153</v>
      </c>
      <c r="K588" s="2" t="s">
        <v>22</v>
      </c>
      <c r="L588" s="2" t="s">
        <v>164</v>
      </c>
      <c r="M588" s="3">
        <v>0</v>
      </c>
      <c r="N588" s="3">
        <v>0</v>
      </c>
      <c r="O588" s="9" t="s">
        <v>24</v>
      </c>
      <c r="P588" s="3">
        <v>0</v>
      </c>
    </row>
    <row r="589" spans="1:16" x14ac:dyDescent="0.3">
      <c r="A589" s="2" t="s">
        <v>2154</v>
      </c>
      <c r="B589" s="2" t="s">
        <v>2155</v>
      </c>
      <c r="C589" s="2" t="s">
        <v>18</v>
      </c>
      <c r="D589" s="5">
        <v>41.054884999999999</v>
      </c>
      <c r="E589" s="5">
        <v>36.650716699999997</v>
      </c>
      <c r="F589" s="2" t="s">
        <v>2156</v>
      </c>
      <c r="G589" s="2" t="s">
        <v>28</v>
      </c>
      <c r="H589" s="2" t="s">
        <v>29</v>
      </c>
      <c r="I589" s="2" t="s">
        <v>37</v>
      </c>
      <c r="J589" s="2" t="s">
        <v>2157</v>
      </c>
      <c r="K589" s="2" t="s">
        <v>22</v>
      </c>
      <c r="L589" s="2" t="s">
        <v>145</v>
      </c>
      <c r="M589" s="3">
        <v>0</v>
      </c>
      <c r="N589" s="3">
        <v>1</v>
      </c>
      <c r="O589" s="9" t="s">
        <v>24</v>
      </c>
      <c r="P589" s="3">
        <v>0</v>
      </c>
    </row>
    <row r="590" spans="1:16" x14ac:dyDescent="0.3">
      <c r="A590" s="2" t="s">
        <v>2158</v>
      </c>
      <c r="B590" s="2" t="s">
        <v>2159</v>
      </c>
      <c r="C590" s="2" t="s">
        <v>18</v>
      </c>
      <c r="D590" s="5">
        <v>41.272725614599999</v>
      </c>
      <c r="E590" s="5">
        <v>36.314656846200002</v>
      </c>
      <c r="F590" s="2" t="s">
        <v>2113</v>
      </c>
      <c r="G590" s="2" t="s">
        <v>20</v>
      </c>
      <c r="H590" s="2" t="s">
        <v>20</v>
      </c>
      <c r="I590" s="2" t="s">
        <v>1369</v>
      </c>
      <c r="J590" s="2" t="s">
        <v>2160</v>
      </c>
      <c r="K590" s="2" t="s">
        <v>22</v>
      </c>
      <c r="L590" s="2" t="s">
        <v>32</v>
      </c>
      <c r="M590" s="3">
        <v>0</v>
      </c>
      <c r="N590" s="3">
        <v>1</v>
      </c>
      <c r="O590" s="9" t="s">
        <v>24</v>
      </c>
      <c r="P590" s="3">
        <v>0</v>
      </c>
    </row>
    <row r="591" spans="1:16" x14ac:dyDescent="0.3">
      <c r="A591" s="2" t="s">
        <v>2161</v>
      </c>
      <c r="B591" s="2" t="s">
        <v>2162</v>
      </c>
      <c r="C591" s="2" t="s">
        <v>18</v>
      </c>
      <c r="D591" s="5">
        <v>41.182696200000002</v>
      </c>
      <c r="E591" s="5">
        <v>35.9463346</v>
      </c>
      <c r="F591" s="2" t="s">
        <v>2163</v>
      </c>
      <c r="G591" s="2" t="s">
        <v>28</v>
      </c>
      <c r="H591" s="2" t="s">
        <v>29</v>
      </c>
      <c r="I591" s="2" t="s">
        <v>30</v>
      </c>
      <c r="J591" s="2" t="s">
        <v>2164</v>
      </c>
      <c r="K591" s="2" t="s">
        <v>22</v>
      </c>
      <c r="L591" s="2" t="s">
        <v>224</v>
      </c>
      <c r="M591" s="3">
        <v>1</v>
      </c>
      <c r="N591" s="3">
        <v>1</v>
      </c>
      <c r="O591" s="9" t="s">
        <v>24</v>
      </c>
      <c r="P591" s="3">
        <v>0</v>
      </c>
    </row>
    <row r="592" spans="1:16" x14ac:dyDescent="0.3">
      <c r="A592" s="2" t="s">
        <v>2165</v>
      </c>
      <c r="B592" s="2" t="s">
        <v>2166</v>
      </c>
      <c r="C592" s="2" t="s">
        <v>18</v>
      </c>
      <c r="D592" s="5">
        <v>41.493745500000003</v>
      </c>
      <c r="E592" s="5">
        <v>36.080523100000001</v>
      </c>
      <c r="F592" s="2" t="s">
        <v>2167</v>
      </c>
      <c r="G592" s="2" t="s">
        <v>28</v>
      </c>
      <c r="H592" s="2" t="s">
        <v>318</v>
      </c>
      <c r="I592" s="2" t="s">
        <v>37</v>
      </c>
      <c r="J592" s="2" t="s">
        <v>2168</v>
      </c>
      <c r="K592" s="2" t="s">
        <v>22</v>
      </c>
      <c r="L592" s="2" t="s">
        <v>394</v>
      </c>
      <c r="M592" s="3">
        <v>0</v>
      </c>
      <c r="N592" s="3">
        <v>1</v>
      </c>
      <c r="O592" s="9" t="s">
        <v>24</v>
      </c>
      <c r="P592" s="3">
        <v>-1.82</v>
      </c>
    </row>
    <row r="593" spans="1:16" x14ac:dyDescent="0.3">
      <c r="A593" s="2" t="s">
        <v>2169</v>
      </c>
      <c r="B593" s="2" t="s">
        <v>2170</v>
      </c>
      <c r="C593" s="2" t="s">
        <v>18</v>
      </c>
      <c r="D593" s="5">
        <v>41.005833299999999</v>
      </c>
      <c r="E593" s="5">
        <v>35.537951700000001</v>
      </c>
      <c r="F593" s="2" t="s">
        <v>2171</v>
      </c>
      <c r="G593" s="2" t="s">
        <v>28</v>
      </c>
      <c r="H593" s="2" t="s">
        <v>29</v>
      </c>
      <c r="I593" s="2" t="s">
        <v>37</v>
      </c>
      <c r="J593" s="2" t="s">
        <v>2172</v>
      </c>
      <c r="K593" s="2" t="s">
        <v>22</v>
      </c>
      <c r="L593" s="2" t="s">
        <v>193</v>
      </c>
      <c r="M593" s="3">
        <v>0</v>
      </c>
      <c r="N593" s="3">
        <v>0</v>
      </c>
      <c r="O593" s="9" t="s">
        <v>54</v>
      </c>
      <c r="P593" s="3">
        <v>-2.92</v>
      </c>
    </row>
    <row r="594" spans="1:16" x14ac:dyDescent="0.3">
      <c r="A594" s="2" t="s">
        <v>2173</v>
      </c>
      <c r="B594" s="2" t="s">
        <v>2174</v>
      </c>
      <c r="C594" s="2" t="s">
        <v>18</v>
      </c>
      <c r="D594" s="5">
        <v>41.314448200000001</v>
      </c>
      <c r="E594" s="5">
        <v>36.323651699999999</v>
      </c>
      <c r="F594" s="2" t="s">
        <v>2175</v>
      </c>
      <c r="G594" s="2" t="s">
        <v>28</v>
      </c>
      <c r="H594" s="2" t="s">
        <v>29</v>
      </c>
      <c r="I594" s="2" t="s">
        <v>37</v>
      </c>
      <c r="J594" s="2" t="s">
        <v>2176</v>
      </c>
      <c r="K594" s="2" t="s">
        <v>22</v>
      </c>
      <c r="L594" s="2" t="s">
        <v>32</v>
      </c>
      <c r="M594" s="3">
        <v>0</v>
      </c>
      <c r="N594" s="3">
        <v>0</v>
      </c>
      <c r="O594" s="9" t="s">
        <v>24</v>
      </c>
      <c r="P594" s="3">
        <v>0</v>
      </c>
    </row>
    <row r="595" spans="1:16" x14ac:dyDescent="0.3">
      <c r="A595" s="2" t="s">
        <v>2177</v>
      </c>
      <c r="B595" s="2" t="s">
        <v>2178</v>
      </c>
      <c r="C595" s="2" t="s">
        <v>18</v>
      </c>
      <c r="D595" s="5">
        <v>41.514721399999999</v>
      </c>
      <c r="E595" s="5">
        <v>36.103748000000003</v>
      </c>
      <c r="F595" s="2" t="s">
        <v>2179</v>
      </c>
      <c r="G595" s="2" t="s">
        <v>28</v>
      </c>
      <c r="H595" s="2" t="s">
        <v>29</v>
      </c>
      <c r="I595" s="2" t="s">
        <v>30</v>
      </c>
      <c r="J595" s="2" t="s">
        <v>2180</v>
      </c>
      <c r="K595" s="2" t="s">
        <v>22</v>
      </c>
      <c r="L595" s="2" t="s">
        <v>394</v>
      </c>
      <c r="M595" s="3">
        <v>1</v>
      </c>
      <c r="N595" s="3">
        <v>1</v>
      </c>
      <c r="O595" s="9" t="s">
        <v>54</v>
      </c>
      <c r="P595" s="3">
        <v>-798.32</v>
      </c>
    </row>
    <row r="596" spans="1:16" x14ac:dyDescent="0.3">
      <c r="A596" s="2" t="s">
        <v>2181</v>
      </c>
      <c r="B596" s="2" t="s">
        <v>2182</v>
      </c>
      <c r="C596" s="2" t="s">
        <v>18</v>
      </c>
      <c r="D596" s="5">
        <v>41.1980924</v>
      </c>
      <c r="E596" s="5">
        <v>36.973725299999998</v>
      </c>
      <c r="F596" s="2" t="s">
        <v>2183</v>
      </c>
      <c r="G596" s="2" t="s">
        <v>28</v>
      </c>
      <c r="H596" s="2" t="s">
        <v>29</v>
      </c>
      <c r="I596" s="2" t="s">
        <v>37</v>
      </c>
      <c r="J596" s="2" t="s">
        <v>2184</v>
      </c>
      <c r="K596" s="2" t="s">
        <v>22</v>
      </c>
      <c r="L596" s="2" t="s">
        <v>328</v>
      </c>
      <c r="M596" s="3">
        <v>0</v>
      </c>
      <c r="N596" s="3">
        <v>1</v>
      </c>
      <c r="O596" s="9" t="s">
        <v>24</v>
      </c>
      <c r="P596" s="3">
        <v>-0.73</v>
      </c>
    </row>
    <row r="597" spans="1:16" x14ac:dyDescent="0.3">
      <c r="A597" s="2" t="s">
        <v>2185</v>
      </c>
      <c r="B597" s="2" t="s">
        <v>2186</v>
      </c>
      <c r="C597" s="2" t="s">
        <v>18</v>
      </c>
      <c r="D597" s="5">
        <v>41.328320499999997</v>
      </c>
      <c r="E597" s="5">
        <v>35.830054400000002</v>
      </c>
      <c r="F597" s="2" t="s">
        <v>2187</v>
      </c>
      <c r="G597" s="2" t="s">
        <v>28</v>
      </c>
      <c r="H597" s="2" t="s">
        <v>29</v>
      </c>
      <c r="I597" s="2" t="s">
        <v>37</v>
      </c>
      <c r="J597" s="2" t="s">
        <v>2188</v>
      </c>
      <c r="K597" s="2" t="s">
        <v>22</v>
      </c>
      <c r="L597" s="2" t="s">
        <v>53</v>
      </c>
      <c r="M597" s="3">
        <v>1</v>
      </c>
      <c r="N597" s="3">
        <v>1</v>
      </c>
      <c r="O597" s="9" t="s">
        <v>24</v>
      </c>
      <c r="P597" s="3">
        <v>-2395.91</v>
      </c>
    </row>
    <row r="598" spans="1:16" x14ac:dyDescent="0.3">
      <c r="A598" s="2" t="s">
        <v>2189</v>
      </c>
      <c r="B598" s="2" t="s">
        <v>2190</v>
      </c>
      <c r="C598" s="2" t="s">
        <v>18</v>
      </c>
      <c r="D598" s="5">
        <v>41.329450259399998</v>
      </c>
      <c r="E598" s="5">
        <v>36.283811456499997</v>
      </c>
      <c r="F598" s="2" t="s">
        <v>54</v>
      </c>
      <c r="G598" s="2" t="s">
        <v>259</v>
      </c>
      <c r="H598" s="2" t="s">
        <v>260</v>
      </c>
      <c r="I598" s="2" t="s">
        <v>260</v>
      </c>
      <c r="J598" s="2" t="s">
        <v>2191</v>
      </c>
      <c r="K598" s="2" t="s">
        <v>22</v>
      </c>
      <c r="L598" s="2" t="s">
        <v>23</v>
      </c>
      <c r="M598" s="3">
        <v>1</v>
      </c>
      <c r="N598" s="3">
        <v>1</v>
      </c>
      <c r="O598" s="9" t="s">
        <v>24</v>
      </c>
      <c r="P598" s="3">
        <v>0</v>
      </c>
    </row>
    <row r="599" spans="1:16" x14ac:dyDescent="0.3">
      <c r="A599" s="2" t="s">
        <v>2192</v>
      </c>
      <c r="B599" s="2" t="s">
        <v>2193</v>
      </c>
      <c r="C599" s="2" t="s">
        <v>18</v>
      </c>
      <c r="D599" s="5">
        <v>41.142359300000003</v>
      </c>
      <c r="E599" s="5">
        <v>35.462238999999997</v>
      </c>
      <c r="F599" s="2" t="s">
        <v>54</v>
      </c>
      <c r="G599" s="2" t="s">
        <v>259</v>
      </c>
      <c r="H599" s="2" t="s">
        <v>260</v>
      </c>
      <c r="I599" s="2" t="s">
        <v>260</v>
      </c>
      <c r="J599" s="2" t="s">
        <v>2194</v>
      </c>
      <c r="K599" s="2" t="s">
        <v>22</v>
      </c>
      <c r="L599" s="2" t="s">
        <v>164</v>
      </c>
      <c r="M599" s="3">
        <v>0</v>
      </c>
      <c r="N599" s="3">
        <v>1</v>
      </c>
      <c r="O599" s="9" t="s">
        <v>24</v>
      </c>
      <c r="P599" s="3">
        <v>0</v>
      </c>
    </row>
    <row r="600" spans="1:16" x14ac:dyDescent="0.3">
      <c r="A600" s="2" t="s">
        <v>2195</v>
      </c>
      <c r="B600" s="2" t="s">
        <v>2196</v>
      </c>
      <c r="C600" s="2" t="s">
        <v>18</v>
      </c>
      <c r="D600" s="5">
        <v>41.312818176500002</v>
      </c>
      <c r="E600" s="5">
        <v>36.3223260225</v>
      </c>
      <c r="F600" s="2" t="s">
        <v>54</v>
      </c>
      <c r="G600" s="2" t="s">
        <v>259</v>
      </c>
      <c r="H600" s="2" t="s">
        <v>260</v>
      </c>
      <c r="I600" s="2" t="s">
        <v>260</v>
      </c>
      <c r="J600" s="2" t="s">
        <v>2197</v>
      </c>
      <c r="K600" s="2" t="s">
        <v>22</v>
      </c>
      <c r="L600" s="2" t="s">
        <v>32</v>
      </c>
      <c r="M600" s="3">
        <v>1</v>
      </c>
      <c r="N600" s="3">
        <v>1</v>
      </c>
      <c r="O600" s="9" t="s">
        <v>24</v>
      </c>
      <c r="P600" s="3">
        <v>0</v>
      </c>
    </row>
    <row r="601" spans="1:16" x14ac:dyDescent="0.3">
      <c r="A601" s="2" t="s">
        <v>2198</v>
      </c>
      <c r="B601" s="2" t="s">
        <v>2199</v>
      </c>
      <c r="C601" s="2" t="s">
        <v>18</v>
      </c>
      <c r="D601" s="5">
        <v>41.517882100000001</v>
      </c>
      <c r="E601" s="5">
        <v>35.9406441</v>
      </c>
      <c r="F601" s="2" t="s">
        <v>2200</v>
      </c>
      <c r="G601" s="2" t="s">
        <v>221</v>
      </c>
      <c r="H601" s="2" t="s">
        <v>1049</v>
      </c>
      <c r="I601" s="2" t="s">
        <v>1049</v>
      </c>
      <c r="J601" s="2" t="s">
        <v>2201</v>
      </c>
      <c r="K601" s="2" t="s">
        <v>22</v>
      </c>
      <c r="L601" s="2" t="s">
        <v>53</v>
      </c>
      <c r="M601" s="3">
        <v>1</v>
      </c>
      <c r="N601" s="3">
        <v>1</v>
      </c>
      <c r="O601" s="9" t="s">
        <v>54</v>
      </c>
      <c r="P601" s="3">
        <v>0</v>
      </c>
    </row>
    <row r="602" spans="1:16" x14ac:dyDescent="0.3">
      <c r="A602" s="2" t="s">
        <v>2202</v>
      </c>
      <c r="B602" s="2" t="s">
        <v>2203</v>
      </c>
      <c r="C602" s="2" t="s">
        <v>18</v>
      </c>
      <c r="D602" s="5">
        <v>41.062277399999999</v>
      </c>
      <c r="E602" s="5">
        <v>36.021886100000003</v>
      </c>
      <c r="F602" s="2" t="s">
        <v>54</v>
      </c>
      <c r="G602" s="2" t="s">
        <v>221</v>
      </c>
      <c r="H602" s="2" t="s">
        <v>1688</v>
      </c>
      <c r="I602" s="2" t="s">
        <v>1688</v>
      </c>
      <c r="J602" s="2" t="s">
        <v>2204</v>
      </c>
      <c r="K602" s="2" t="s">
        <v>22</v>
      </c>
      <c r="L602" s="2" t="s">
        <v>224</v>
      </c>
      <c r="M602" s="3">
        <v>1</v>
      </c>
      <c r="N602" s="3">
        <v>1</v>
      </c>
      <c r="O602" s="9" t="s">
        <v>24</v>
      </c>
      <c r="P602" s="3">
        <v>0</v>
      </c>
    </row>
    <row r="603" spans="1:16" x14ac:dyDescent="0.3">
      <c r="A603" s="2" t="s">
        <v>2205</v>
      </c>
      <c r="B603" s="2" t="s">
        <v>2206</v>
      </c>
      <c r="C603" s="2" t="s">
        <v>18</v>
      </c>
      <c r="D603" s="5">
        <v>41.266983099999997</v>
      </c>
      <c r="E603" s="5">
        <v>36.359763800000003</v>
      </c>
      <c r="F603" s="2" t="s">
        <v>2207</v>
      </c>
      <c r="G603" s="2" t="s">
        <v>221</v>
      </c>
      <c r="H603" s="2" t="s">
        <v>222</v>
      </c>
      <c r="I603" s="2" t="s">
        <v>926</v>
      </c>
      <c r="J603" s="2" t="s">
        <v>1563</v>
      </c>
      <c r="K603" s="2" t="s">
        <v>22</v>
      </c>
      <c r="L603" s="2" t="s">
        <v>99</v>
      </c>
      <c r="M603" s="3">
        <v>0</v>
      </c>
      <c r="N603" s="3">
        <v>0</v>
      </c>
      <c r="O603" s="9" t="s">
        <v>24</v>
      </c>
      <c r="P603" s="3">
        <v>0</v>
      </c>
    </row>
    <row r="604" spans="1:16" x14ac:dyDescent="0.3">
      <c r="A604" s="2" t="s">
        <v>2208</v>
      </c>
      <c r="B604" s="2" t="s">
        <v>2209</v>
      </c>
      <c r="C604" s="2" t="s">
        <v>18</v>
      </c>
      <c r="D604" s="5">
        <v>41.091539246400004</v>
      </c>
      <c r="E604" s="5">
        <v>35.418225377799999</v>
      </c>
      <c r="F604" s="2" t="s">
        <v>2210</v>
      </c>
      <c r="G604" s="2" t="s">
        <v>28</v>
      </c>
      <c r="H604" s="2" t="s">
        <v>29</v>
      </c>
      <c r="I604" s="2" t="s">
        <v>37</v>
      </c>
      <c r="J604" s="2" t="s">
        <v>2211</v>
      </c>
      <c r="K604" s="2" t="s">
        <v>22</v>
      </c>
      <c r="L604" s="2" t="s">
        <v>164</v>
      </c>
      <c r="M604" s="3">
        <v>1</v>
      </c>
      <c r="N604" s="3">
        <v>1</v>
      </c>
      <c r="O604" s="9" t="s">
        <v>24</v>
      </c>
      <c r="P604" s="3">
        <v>0</v>
      </c>
    </row>
    <row r="605" spans="1:16" x14ac:dyDescent="0.3">
      <c r="A605" s="2" t="s">
        <v>2212</v>
      </c>
      <c r="B605" s="2" t="s">
        <v>2213</v>
      </c>
      <c r="C605" s="2" t="s">
        <v>18</v>
      </c>
      <c r="D605" s="5">
        <v>41.318427800000002</v>
      </c>
      <c r="E605" s="5">
        <v>36.309187100000003</v>
      </c>
      <c r="F605" s="2" t="s">
        <v>2207</v>
      </c>
      <c r="G605" s="2" t="s">
        <v>221</v>
      </c>
      <c r="H605" s="2" t="s">
        <v>222</v>
      </c>
      <c r="I605" s="2" t="s">
        <v>926</v>
      </c>
      <c r="J605" s="2" t="s">
        <v>2214</v>
      </c>
      <c r="K605" s="2" t="s">
        <v>22</v>
      </c>
      <c r="L605" s="2" t="s">
        <v>99</v>
      </c>
      <c r="M605" s="3">
        <v>0</v>
      </c>
      <c r="N605" s="3">
        <v>0</v>
      </c>
      <c r="O605" s="9" t="s">
        <v>54</v>
      </c>
      <c r="P605" s="3">
        <v>0</v>
      </c>
    </row>
    <row r="606" spans="1:16" x14ac:dyDescent="0.3">
      <c r="A606" s="2" t="s">
        <v>2215</v>
      </c>
      <c r="B606" s="2" t="s">
        <v>2216</v>
      </c>
      <c r="C606" s="2" t="s">
        <v>18</v>
      </c>
      <c r="D606" s="5">
        <v>41.078517699999999</v>
      </c>
      <c r="E606" s="5">
        <v>36.551543299999999</v>
      </c>
      <c r="F606" s="2" t="s">
        <v>2217</v>
      </c>
      <c r="G606" s="2" t="s">
        <v>28</v>
      </c>
      <c r="H606" s="2" t="s">
        <v>29</v>
      </c>
      <c r="I606" s="2" t="s">
        <v>37</v>
      </c>
      <c r="J606" s="2" t="s">
        <v>2218</v>
      </c>
      <c r="K606" s="2" t="s">
        <v>22</v>
      </c>
      <c r="L606" s="2" t="s">
        <v>44</v>
      </c>
      <c r="M606" s="3">
        <v>2</v>
      </c>
      <c r="N606" s="3">
        <v>1</v>
      </c>
      <c r="O606" s="9" t="s">
        <v>24</v>
      </c>
      <c r="P606" s="3">
        <v>-1977.54</v>
      </c>
    </row>
    <row r="607" spans="1:16" x14ac:dyDescent="0.3">
      <c r="A607" s="2" t="s">
        <v>2219</v>
      </c>
      <c r="B607" s="2" t="s">
        <v>2220</v>
      </c>
      <c r="C607" s="2" t="s">
        <v>18</v>
      </c>
      <c r="D607" s="5">
        <v>41.079405700000002</v>
      </c>
      <c r="E607" s="5">
        <v>36.824887500000003</v>
      </c>
      <c r="F607" s="2" t="s">
        <v>54</v>
      </c>
      <c r="G607" s="2" t="s">
        <v>259</v>
      </c>
      <c r="H607" s="2" t="s">
        <v>260</v>
      </c>
      <c r="I607" s="2" t="s">
        <v>260</v>
      </c>
      <c r="J607" s="2" t="s">
        <v>2221</v>
      </c>
      <c r="K607" s="2" t="s">
        <v>22</v>
      </c>
      <c r="L607" s="2" t="s">
        <v>476</v>
      </c>
      <c r="M607" s="3">
        <v>1</v>
      </c>
      <c r="N607" s="3">
        <v>1</v>
      </c>
      <c r="O607" s="9" t="s">
        <v>24</v>
      </c>
      <c r="P607" s="3">
        <v>0</v>
      </c>
    </row>
    <row r="608" spans="1:16" x14ac:dyDescent="0.3">
      <c r="A608" s="2" t="s">
        <v>2222</v>
      </c>
      <c r="B608" s="2" t="s">
        <v>2223</v>
      </c>
      <c r="C608" s="2" t="s">
        <v>18</v>
      </c>
      <c r="D608" s="5">
        <v>41.667464099999997</v>
      </c>
      <c r="E608" s="5">
        <v>36.026292599999998</v>
      </c>
      <c r="F608" s="2" t="s">
        <v>2224</v>
      </c>
      <c r="G608" s="2" t="s">
        <v>221</v>
      </c>
      <c r="H608" s="2" t="s">
        <v>222</v>
      </c>
      <c r="I608" s="2" t="s">
        <v>222</v>
      </c>
      <c r="J608" s="2" t="s">
        <v>2225</v>
      </c>
      <c r="K608" s="2" t="s">
        <v>22</v>
      </c>
      <c r="L608" s="2" t="s">
        <v>394</v>
      </c>
      <c r="M608" s="3">
        <v>0</v>
      </c>
      <c r="N608" s="3">
        <v>1</v>
      </c>
      <c r="O608" s="9" t="s">
        <v>24</v>
      </c>
      <c r="P608" s="3">
        <v>-0.02</v>
      </c>
    </row>
    <row r="609" spans="1:16" x14ac:dyDescent="0.3">
      <c r="A609" s="2" t="s">
        <v>2226</v>
      </c>
      <c r="B609" s="2" t="s">
        <v>2227</v>
      </c>
      <c r="C609" s="2" t="s">
        <v>18</v>
      </c>
      <c r="D609" s="5">
        <v>41.574597300000001</v>
      </c>
      <c r="E609" s="5">
        <v>35.874167300000003</v>
      </c>
      <c r="F609" s="2" t="s">
        <v>2228</v>
      </c>
      <c r="G609" s="2" t="s">
        <v>28</v>
      </c>
      <c r="H609" s="2" t="s">
        <v>29</v>
      </c>
      <c r="I609" s="2" t="s">
        <v>37</v>
      </c>
      <c r="J609" s="2" t="s">
        <v>2229</v>
      </c>
      <c r="K609" s="2" t="s">
        <v>22</v>
      </c>
      <c r="L609" s="2" t="s">
        <v>53</v>
      </c>
      <c r="M609" s="3">
        <v>0</v>
      </c>
      <c r="N609" s="3">
        <v>0</v>
      </c>
      <c r="O609" s="9" t="s">
        <v>24</v>
      </c>
      <c r="P609" s="3">
        <v>0</v>
      </c>
    </row>
    <row r="610" spans="1:16" x14ac:dyDescent="0.3">
      <c r="A610" s="2" t="s">
        <v>2230</v>
      </c>
      <c r="B610" s="2" t="s">
        <v>2231</v>
      </c>
      <c r="C610" s="2" t="s">
        <v>18</v>
      </c>
      <c r="D610" s="5">
        <v>41.5568831</v>
      </c>
      <c r="E610" s="5">
        <v>35.9064877</v>
      </c>
      <c r="F610" s="2" t="s">
        <v>2207</v>
      </c>
      <c r="G610" s="2" t="s">
        <v>221</v>
      </c>
      <c r="H610" s="2" t="s">
        <v>222</v>
      </c>
      <c r="I610" s="2" t="s">
        <v>926</v>
      </c>
      <c r="J610" s="2" t="s">
        <v>2232</v>
      </c>
      <c r="K610" s="2" t="s">
        <v>22</v>
      </c>
      <c r="L610" s="2" t="s">
        <v>394</v>
      </c>
      <c r="M610" s="3">
        <v>0</v>
      </c>
      <c r="N610" s="3">
        <v>0</v>
      </c>
      <c r="O610" s="9" t="s">
        <v>54</v>
      </c>
      <c r="P610" s="3">
        <v>0</v>
      </c>
    </row>
    <row r="611" spans="1:16" x14ac:dyDescent="0.3">
      <c r="A611" s="2" t="s">
        <v>2233</v>
      </c>
      <c r="B611" s="2" t="s">
        <v>2234</v>
      </c>
      <c r="C611" s="2" t="s">
        <v>18</v>
      </c>
      <c r="D611" s="5">
        <v>41.2058447</v>
      </c>
      <c r="E611" s="5">
        <v>36.730932799999998</v>
      </c>
      <c r="F611" s="2" t="s">
        <v>54</v>
      </c>
      <c r="G611" s="2" t="s">
        <v>20</v>
      </c>
      <c r="H611" s="2" t="s">
        <v>20</v>
      </c>
      <c r="I611" s="2" t="s">
        <v>1369</v>
      </c>
      <c r="J611" s="2" t="s">
        <v>2235</v>
      </c>
      <c r="K611" s="2" t="s">
        <v>22</v>
      </c>
      <c r="L611" s="2" t="s">
        <v>44</v>
      </c>
      <c r="M611" s="3">
        <v>0</v>
      </c>
      <c r="N611" s="3">
        <v>0</v>
      </c>
      <c r="O611" s="9" t="s">
        <v>54</v>
      </c>
      <c r="P611" s="3">
        <v>0</v>
      </c>
    </row>
    <row r="612" spans="1:16" x14ac:dyDescent="0.3">
      <c r="A612" s="2" t="s">
        <v>2236</v>
      </c>
      <c r="B612" s="2" t="s">
        <v>2237</v>
      </c>
      <c r="C612" s="2" t="s">
        <v>18</v>
      </c>
      <c r="D612" s="5">
        <v>41.258953400000003</v>
      </c>
      <c r="E612" s="5">
        <v>36.355751400000003</v>
      </c>
      <c r="F612" s="2" t="s">
        <v>2238</v>
      </c>
      <c r="G612" s="2" t="s">
        <v>28</v>
      </c>
      <c r="H612" s="2" t="s">
        <v>29</v>
      </c>
      <c r="I612" s="2" t="s">
        <v>37</v>
      </c>
      <c r="J612" s="2" t="s">
        <v>2239</v>
      </c>
      <c r="K612" s="2" t="s">
        <v>22</v>
      </c>
      <c r="L612" s="2" t="s">
        <v>99</v>
      </c>
      <c r="M612" s="3">
        <v>2</v>
      </c>
      <c r="N612" s="3">
        <v>1</v>
      </c>
      <c r="O612" s="9" t="s">
        <v>24</v>
      </c>
      <c r="P612" s="3">
        <v>-3631.8</v>
      </c>
    </row>
    <row r="613" spans="1:16" x14ac:dyDescent="0.3">
      <c r="A613" s="2" t="s">
        <v>2240</v>
      </c>
      <c r="B613" s="2" t="s">
        <v>2241</v>
      </c>
      <c r="C613" s="2" t="s">
        <v>18</v>
      </c>
      <c r="D613" s="5">
        <v>41.003189900000002</v>
      </c>
      <c r="E613" s="5">
        <v>36.632196899999997</v>
      </c>
      <c r="F613" s="2" t="s">
        <v>54</v>
      </c>
      <c r="G613" s="2" t="s">
        <v>259</v>
      </c>
      <c r="H613" s="2" t="s">
        <v>260</v>
      </c>
      <c r="I613" s="2" t="s">
        <v>260</v>
      </c>
      <c r="J613" s="2" t="s">
        <v>2242</v>
      </c>
      <c r="K613" s="2" t="s">
        <v>22</v>
      </c>
      <c r="L613" s="2" t="s">
        <v>145</v>
      </c>
      <c r="M613" s="3">
        <v>1</v>
      </c>
      <c r="N613" s="3">
        <v>1</v>
      </c>
      <c r="O613" s="9" t="s">
        <v>24</v>
      </c>
      <c r="P613" s="3">
        <v>0</v>
      </c>
    </row>
    <row r="614" spans="1:16" x14ac:dyDescent="0.3">
      <c r="A614" s="2" t="s">
        <v>2243</v>
      </c>
      <c r="B614" s="2" t="s">
        <v>2244</v>
      </c>
      <c r="C614" s="2" t="s">
        <v>18</v>
      </c>
      <c r="D614" s="5">
        <v>41.318419599999999</v>
      </c>
      <c r="E614" s="5">
        <v>36.271509600000002</v>
      </c>
      <c r="F614" s="2" t="s">
        <v>54</v>
      </c>
      <c r="G614" s="2" t="s">
        <v>259</v>
      </c>
      <c r="H614" s="2" t="s">
        <v>260</v>
      </c>
      <c r="I614" s="2" t="s">
        <v>260</v>
      </c>
      <c r="J614" s="2" t="s">
        <v>2245</v>
      </c>
      <c r="K614" s="2" t="s">
        <v>22</v>
      </c>
      <c r="L614" s="2" t="s">
        <v>23</v>
      </c>
      <c r="M614" s="3">
        <v>1</v>
      </c>
      <c r="N614" s="3">
        <v>1</v>
      </c>
      <c r="O614" s="9" t="s">
        <v>24</v>
      </c>
      <c r="P614" s="3">
        <v>0</v>
      </c>
    </row>
    <row r="615" spans="1:16" x14ac:dyDescent="0.3">
      <c r="A615" s="2" t="s">
        <v>2246</v>
      </c>
      <c r="B615" s="2" t="s">
        <v>2247</v>
      </c>
      <c r="C615" s="2" t="s">
        <v>18</v>
      </c>
      <c r="D615" s="5">
        <v>41.990160299999999</v>
      </c>
      <c r="E615" s="5">
        <v>35.101124499999997</v>
      </c>
      <c r="F615" s="2" t="s">
        <v>54</v>
      </c>
      <c r="G615" s="2" t="s">
        <v>259</v>
      </c>
      <c r="H615" s="2" t="s">
        <v>260</v>
      </c>
      <c r="I615" s="2" t="s">
        <v>260</v>
      </c>
      <c r="J615" s="2" t="s">
        <v>2248</v>
      </c>
      <c r="K615" s="2" t="s">
        <v>154</v>
      </c>
      <c r="L615" s="2" t="s">
        <v>155</v>
      </c>
      <c r="M615" s="3">
        <v>1</v>
      </c>
      <c r="N615" s="3">
        <v>1</v>
      </c>
      <c r="O615" s="9" t="s">
        <v>24</v>
      </c>
      <c r="P615" s="3">
        <v>0</v>
      </c>
    </row>
    <row r="616" spans="1:16" x14ac:dyDescent="0.3">
      <c r="A616" s="2" t="s">
        <v>2249</v>
      </c>
      <c r="B616" s="2" t="s">
        <v>2250</v>
      </c>
      <c r="C616" s="2" t="s">
        <v>18</v>
      </c>
      <c r="D616" s="5">
        <v>41.073394</v>
      </c>
      <c r="E616" s="5">
        <v>36.04571</v>
      </c>
      <c r="F616" s="2" t="s">
        <v>54</v>
      </c>
      <c r="G616" s="2" t="s">
        <v>259</v>
      </c>
      <c r="H616" s="2" t="s">
        <v>260</v>
      </c>
      <c r="I616" s="2" t="s">
        <v>260</v>
      </c>
      <c r="J616" s="2" t="s">
        <v>2251</v>
      </c>
      <c r="K616" s="2" t="s">
        <v>22</v>
      </c>
      <c r="L616" s="2" t="s">
        <v>224</v>
      </c>
      <c r="M616" s="3">
        <v>1</v>
      </c>
      <c r="N616" s="3">
        <v>1</v>
      </c>
      <c r="O616" s="9" t="s">
        <v>24</v>
      </c>
      <c r="P616" s="3">
        <v>0</v>
      </c>
    </row>
    <row r="617" spans="1:16" x14ac:dyDescent="0.3">
      <c r="A617" s="2" t="s">
        <v>2252</v>
      </c>
      <c r="B617" s="2" t="s">
        <v>2253</v>
      </c>
      <c r="C617" s="2" t="s">
        <v>18</v>
      </c>
      <c r="D617" s="5">
        <v>41.343885399999998</v>
      </c>
      <c r="E617" s="5">
        <v>36.247296400000003</v>
      </c>
      <c r="F617" s="2" t="s">
        <v>54</v>
      </c>
      <c r="G617" s="2" t="s">
        <v>259</v>
      </c>
      <c r="H617" s="2" t="s">
        <v>260</v>
      </c>
      <c r="I617" s="2" t="s">
        <v>260</v>
      </c>
      <c r="J617" s="2" t="s">
        <v>2254</v>
      </c>
      <c r="K617" s="2" t="s">
        <v>22</v>
      </c>
      <c r="L617" s="2" t="s">
        <v>23</v>
      </c>
      <c r="M617" s="3">
        <v>1</v>
      </c>
      <c r="N617" s="3">
        <v>1</v>
      </c>
      <c r="O617" s="9" t="s">
        <v>24</v>
      </c>
      <c r="P617" s="3">
        <v>0</v>
      </c>
    </row>
    <row r="618" spans="1:16" x14ac:dyDescent="0.3">
      <c r="A618" s="2" t="s">
        <v>2255</v>
      </c>
      <c r="B618" s="2" t="s">
        <v>2256</v>
      </c>
      <c r="C618" s="2" t="s">
        <v>18</v>
      </c>
      <c r="D618" s="5">
        <v>41.467939999999999</v>
      </c>
      <c r="E618" s="5">
        <v>36.124859999999998</v>
      </c>
      <c r="F618" s="2" t="s">
        <v>2257</v>
      </c>
      <c r="G618" s="2" t="s">
        <v>28</v>
      </c>
      <c r="H618" s="2" t="s">
        <v>36</v>
      </c>
      <c r="I618" s="2" t="s">
        <v>30</v>
      </c>
      <c r="J618" s="2" t="s">
        <v>2258</v>
      </c>
      <c r="K618" s="2" t="s">
        <v>22</v>
      </c>
      <c r="L618" s="2" t="s">
        <v>394</v>
      </c>
      <c r="M618" s="3">
        <v>0</v>
      </c>
      <c r="N618" s="3">
        <v>1</v>
      </c>
      <c r="O618" s="9" t="s">
        <v>24</v>
      </c>
      <c r="P618" s="3">
        <v>66275.53</v>
      </c>
    </row>
    <row r="619" spans="1:16" x14ac:dyDescent="0.3">
      <c r="A619" s="2" t="s">
        <v>2259</v>
      </c>
      <c r="B619" s="2" t="s">
        <v>2260</v>
      </c>
      <c r="C619" s="2" t="s">
        <v>18</v>
      </c>
      <c r="D619" s="5">
        <v>41.216065800000003</v>
      </c>
      <c r="E619" s="5">
        <v>36.923483699999998</v>
      </c>
      <c r="F619" s="2" t="s">
        <v>2261</v>
      </c>
      <c r="G619" s="2" t="s">
        <v>28</v>
      </c>
      <c r="H619" s="2" t="s">
        <v>29</v>
      </c>
      <c r="I619" s="2" t="s">
        <v>30</v>
      </c>
      <c r="J619" s="2" t="s">
        <v>2262</v>
      </c>
      <c r="K619" s="2" t="s">
        <v>22</v>
      </c>
      <c r="L619" s="2" t="s">
        <v>328</v>
      </c>
      <c r="M619" s="3">
        <v>1</v>
      </c>
      <c r="N619" s="3">
        <v>1</v>
      </c>
      <c r="O619" s="9" t="s">
        <v>24</v>
      </c>
      <c r="P619" s="3">
        <v>-0.43</v>
      </c>
    </row>
    <row r="620" spans="1:16" x14ac:dyDescent="0.3">
      <c r="A620" s="2" t="s">
        <v>2263</v>
      </c>
      <c r="B620" s="2" t="s">
        <v>2264</v>
      </c>
      <c r="C620" s="2" t="s">
        <v>18</v>
      </c>
      <c r="D620" s="5">
        <v>41.266621000000001</v>
      </c>
      <c r="E620" s="5">
        <v>36.319853000000002</v>
      </c>
      <c r="F620" s="2" t="s">
        <v>2265</v>
      </c>
      <c r="G620" s="2" t="s">
        <v>28</v>
      </c>
      <c r="H620" s="2" t="s">
        <v>36</v>
      </c>
      <c r="I620" s="2" t="s">
        <v>30</v>
      </c>
      <c r="J620" s="2" t="s">
        <v>2266</v>
      </c>
      <c r="K620" s="2" t="s">
        <v>22</v>
      </c>
      <c r="L620" s="2" t="s">
        <v>32</v>
      </c>
      <c r="M620" s="3">
        <v>0</v>
      </c>
      <c r="N620" s="3">
        <v>0</v>
      </c>
      <c r="O620" s="9" t="s">
        <v>24</v>
      </c>
      <c r="P620" s="3">
        <v>-0.99</v>
      </c>
    </row>
    <row r="621" spans="1:16" x14ac:dyDescent="0.3">
      <c r="A621" s="2" t="s">
        <v>2267</v>
      </c>
      <c r="B621" s="2" t="s">
        <v>2268</v>
      </c>
      <c r="C621" s="2" t="s">
        <v>18</v>
      </c>
      <c r="D621" s="5">
        <v>41.13335</v>
      </c>
      <c r="E621" s="5">
        <v>37.283156666700002</v>
      </c>
      <c r="F621" s="2" t="s">
        <v>2269</v>
      </c>
      <c r="G621" s="2" t="s">
        <v>28</v>
      </c>
      <c r="H621" s="2" t="s">
        <v>36</v>
      </c>
      <c r="I621" s="2" t="s">
        <v>30</v>
      </c>
      <c r="J621" s="2" t="s">
        <v>2270</v>
      </c>
      <c r="K621" s="2" t="s">
        <v>63</v>
      </c>
      <c r="L621" s="2" t="s">
        <v>89</v>
      </c>
      <c r="M621" s="3">
        <v>0</v>
      </c>
      <c r="N621" s="3">
        <v>1</v>
      </c>
      <c r="O621" s="9" t="s">
        <v>54</v>
      </c>
      <c r="P621" s="3">
        <v>5199.12</v>
      </c>
    </row>
    <row r="622" spans="1:16" x14ac:dyDescent="0.3">
      <c r="A622" s="2" t="s">
        <v>2271</v>
      </c>
      <c r="B622" s="2" t="s">
        <v>2272</v>
      </c>
      <c r="C622" s="2" t="s">
        <v>18</v>
      </c>
      <c r="D622" s="5">
        <v>41.118879999999997</v>
      </c>
      <c r="E622" s="5">
        <v>37.290203333299999</v>
      </c>
      <c r="F622" s="2" t="s">
        <v>2273</v>
      </c>
      <c r="G622" s="2" t="s">
        <v>28</v>
      </c>
      <c r="H622" s="2" t="s">
        <v>29</v>
      </c>
      <c r="I622" s="2" t="s">
        <v>30</v>
      </c>
      <c r="J622" s="2" t="s">
        <v>2274</v>
      </c>
      <c r="K622" s="2" t="s">
        <v>63</v>
      </c>
      <c r="L622" s="2" t="s">
        <v>89</v>
      </c>
      <c r="M622" s="3">
        <v>0</v>
      </c>
      <c r="N622" s="3">
        <v>0</v>
      </c>
      <c r="O622" s="9" t="s">
        <v>24</v>
      </c>
      <c r="P622" s="3">
        <v>0</v>
      </c>
    </row>
    <row r="623" spans="1:16" x14ac:dyDescent="0.3">
      <c r="A623" s="2" t="s">
        <v>2275</v>
      </c>
      <c r="B623" s="2" t="s">
        <v>2276</v>
      </c>
      <c r="C623" s="2" t="s">
        <v>18</v>
      </c>
      <c r="D623" s="5">
        <v>41.240509000000003</v>
      </c>
      <c r="E623" s="5">
        <v>36.549942000000001</v>
      </c>
      <c r="F623" s="2" t="s">
        <v>2277</v>
      </c>
      <c r="G623" s="2" t="s">
        <v>28</v>
      </c>
      <c r="H623" s="2" t="s">
        <v>36</v>
      </c>
      <c r="I623" s="2" t="s">
        <v>30</v>
      </c>
      <c r="J623" s="2" t="s">
        <v>2278</v>
      </c>
      <c r="K623" s="2" t="s">
        <v>22</v>
      </c>
      <c r="L623" s="2" t="s">
        <v>44</v>
      </c>
      <c r="M623" s="3">
        <v>0</v>
      </c>
      <c r="N623" s="3">
        <v>0</v>
      </c>
      <c r="O623" s="9" t="s">
        <v>24</v>
      </c>
      <c r="P623" s="3">
        <v>-3.35</v>
      </c>
    </row>
    <row r="624" spans="1:16" x14ac:dyDescent="0.3">
      <c r="A624" s="2" t="s">
        <v>2279</v>
      </c>
      <c r="B624" s="2" t="s">
        <v>2280</v>
      </c>
      <c r="C624" s="2" t="s">
        <v>18</v>
      </c>
      <c r="D624" s="5">
        <v>41.191844874600001</v>
      </c>
      <c r="E624" s="5">
        <v>36.718546981599999</v>
      </c>
      <c r="F624" s="2" t="s">
        <v>2281</v>
      </c>
      <c r="G624" s="2" t="s">
        <v>28</v>
      </c>
      <c r="H624" s="2" t="s">
        <v>29</v>
      </c>
      <c r="I624" s="2" t="s">
        <v>30</v>
      </c>
      <c r="J624" s="2" t="s">
        <v>2282</v>
      </c>
      <c r="K624" s="2" t="s">
        <v>22</v>
      </c>
      <c r="L624" s="2" t="s">
        <v>44</v>
      </c>
      <c r="M624" s="3">
        <v>2</v>
      </c>
      <c r="N624" s="3">
        <v>1</v>
      </c>
      <c r="O624" s="9" t="s">
        <v>24</v>
      </c>
      <c r="P624" s="3">
        <v>-1465.09</v>
      </c>
    </row>
    <row r="625" spans="1:16" x14ac:dyDescent="0.3">
      <c r="A625" s="2" t="s">
        <v>2283</v>
      </c>
      <c r="B625" s="2" t="s">
        <v>2284</v>
      </c>
      <c r="C625" s="2" t="s">
        <v>18</v>
      </c>
      <c r="D625" s="5">
        <v>41.180060921500001</v>
      </c>
      <c r="E625" s="5">
        <v>36.714103412299998</v>
      </c>
      <c r="F625" s="2" t="s">
        <v>2285</v>
      </c>
      <c r="G625" s="2" t="s">
        <v>28</v>
      </c>
      <c r="H625" s="2" t="s">
        <v>29</v>
      </c>
      <c r="I625" s="2" t="s">
        <v>30</v>
      </c>
      <c r="J625" s="2" t="s">
        <v>2286</v>
      </c>
      <c r="K625" s="2" t="s">
        <v>22</v>
      </c>
      <c r="L625" s="2" t="s">
        <v>44</v>
      </c>
      <c r="M625" s="3">
        <v>1</v>
      </c>
      <c r="N625" s="3">
        <v>1</v>
      </c>
      <c r="O625" s="9" t="s">
        <v>24</v>
      </c>
      <c r="P625" s="3">
        <v>0</v>
      </c>
    </row>
    <row r="626" spans="1:16" x14ac:dyDescent="0.3">
      <c r="A626" s="2" t="s">
        <v>2287</v>
      </c>
      <c r="B626" s="2" t="s">
        <v>2288</v>
      </c>
      <c r="C626" s="2" t="s">
        <v>18</v>
      </c>
      <c r="D626" s="5">
        <v>41.1855516667</v>
      </c>
      <c r="E626" s="5">
        <v>36.723866666699998</v>
      </c>
      <c r="F626" s="2" t="s">
        <v>2289</v>
      </c>
      <c r="G626" s="2" t="s">
        <v>28</v>
      </c>
      <c r="H626" s="2" t="s">
        <v>29</v>
      </c>
      <c r="I626" s="2" t="s">
        <v>30</v>
      </c>
      <c r="J626" s="2" t="s">
        <v>2290</v>
      </c>
      <c r="K626" s="2" t="s">
        <v>22</v>
      </c>
      <c r="L626" s="2" t="s">
        <v>44</v>
      </c>
      <c r="M626" s="3">
        <v>2</v>
      </c>
      <c r="N626" s="3">
        <v>1</v>
      </c>
      <c r="O626" s="9" t="s">
        <v>24</v>
      </c>
      <c r="P626" s="3">
        <v>-2.5299999999999998</v>
      </c>
    </row>
    <row r="627" spans="1:16" x14ac:dyDescent="0.3">
      <c r="A627" s="2" t="s">
        <v>2291</v>
      </c>
      <c r="B627" s="2" t="s">
        <v>2292</v>
      </c>
      <c r="C627" s="2" t="s">
        <v>18</v>
      </c>
      <c r="D627" s="5">
        <v>41.231241666700001</v>
      </c>
      <c r="E627" s="5">
        <v>36.69408</v>
      </c>
      <c r="F627" s="2" t="s">
        <v>2293</v>
      </c>
      <c r="G627" s="2" t="s">
        <v>28</v>
      </c>
      <c r="H627" s="2" t="s">
        <v>29</v>
      </c>
      <c r="I627" s="2" t="s">
        <v>30</v>
      </c>
      <c r="J627" s="2" t="s">
        <v>2294</v>
      </c>
      <c r="K627" s="2" t="s">
        <v>22</v>
      </c>
      <c r="L627" s="2" t="s">
        <v>44</v>
      </c>
      <c r="M627" s="3">
        <v>1</v>
      </c>
      <c r="N627" s="3">
        <v>1</v>
      </c>
      <c r="O627" s="9" t="s">
        <v>54</v>
      </c>
      <c r="P627" s="3">
        <v>-0.49</v>
      </c>
    </row>
    <row r="628" spans="1:16" x14ac:dyDescent="0.3">
      <c r="A628" s="2" t="s">
        <v>2295</v>
      </c>
      <c r="B628" s="2" t="s">
        <v>2296</v>
      </c>
      <c r="C628" s="2" t="s">
        <v>18</v>
      </c>
      <c r="D628" s="5">
        <v>41.338203300000004</v>
      </c>
      <c r="E628" s="5">
        <v>36.618096700000002</v>
      </c>
      <c r="F628" s="2" t="s">
        <v>2297</v>
      </c>
      <c r="G628" s="2" t="s">
        <v>28</v>
      </c>
      <c r="H628" s="2" t="s">
        <v>36</v>
      </c>
      <c r="I628" s="2" t="s">
        <v>30</v>
      </c>
      <c r="J628" s="2" t="s">
        <v>2298</v>
      </c>
      <c r="K628" s="2" t="s">
        <v>22</v>
      </c>
      <c r="L628" s="2" t="s">
        <v>44</v>
      </c>
      <c r="M628" s="3">
        <v>0</v>
      </c>
      <c r="N628" s="3">
        <v>1</v>
      </c>
      <c r="O628" s="9" t="s">
        <v>24</v>
      </c>
      <c r="P628" s="3">
        <v>0</v>
      </c>
    </row>
    <row r="629" spans="1:16" x14ac:dyDescent="0.3">
      <c r="A629" s="2" t="s">
        <v>2299</v>
      </c>
      <c r="B629" s="2" t="s">
        <v>2300</v>
      </c>
      <c r="C629" s="2" t="s">
        <v>18</v>
      </c>
      <c r="D629" s="5">
        <v>41.199224999999998</v>
      </c>
      <c r="E629" s="5">
        <v>36.970926666700002</v>
      </c>
      <c r="F629" s="2" t="s">
        <v>2301</v>
      </c>
      <c r="G629" s="2" t="s">
        <v>28</v>
      </c>
      <c r="H629" s="2" t="s">
        <v>36</v>
      </c>
      <c r="I629" s="2" t="s">
        <v>30</v>
      </c>
      <c r="J629" s="2" t="s">
        <v>2302</v>
      </c>
      <c r="K629" s="2" t="s">
        <v>22</v>
      </c>
      <c r="L629" s="2" t="s">
        <v>328</v>
      </c>
      <c r="M629" s="3">
        <v>0</v>
      </c>
      <c r="N629" s="3">
        <v>0</v>
      </c>
      <c r="O629" s="9" t="s">
        <v>24</v>
      </c>
      <c r="P629" s="3">
        <v>-0.34</v>
      </c>
    </row>
    <row r="630" spans="1:16" x14ac:dyDescent="0.3">
      <c r="A630" s="2" t="s">
        <v>2303</v>
      </c>
      <c r="B630" s="2" t="s">
        <v>2304</v>
      </c>
      <c r="C630" s="2" t="s">
        <v>18</v>
      </c>
      <c r="D630" s="5">
        <v>41.5573914</v>
      </c>
      <c r="E630" s="5">
        <v>35.922596800000001</v>
      </c>
      <c r="F630" s="2" t="s">
        <v>2305</v>
      </c>
      <c r="G630" s="2" t="s">
        <v>28</v>
      </c>
      <c r="H630" s="2" t="s">
        <v>29</v>
      </c>
      <c r="I630" s="2" t="s">
        <v>30</v>
      </c>
      <c r="J630" s="2" t="s">
        <v>2306</v>
      </c>
      <c r="K630" s="2" t="s">
        <v>22</v>
      </c>
      <c r="L630" s="2" t="s">
        <v>53</v>
      </c>
      <c r="M630" s="3">
        <v>2</v>
      </c>
      <c r="N630" s="3">
        <v>1</v>
      </c>
      <c r="O630" s="9" t="s">
        <v>24</v>
      </c>
      <c r="P630" s="3">
        <v>-1250</v>
      </c>
    </row>
    <row r="631" spans="1:16" x14ac:dyDescent="0.3">
      <c r="A631" s="2" t="s">
        <v>2307</v>
      </c>
      <c r="B631" s="2" t="s">
        <v>2308</v>
      </c>
      <c r="C631" s="2" t="s">
        <v>18</v>
      </c>
      <c r="D631" s="5">
        <v>41.130477800000001</v>
      </c>
      <c r="E631" s="5">
        <v>37.275063600000003</v>
      </c>
      <c r="F631" s="2" t="s">
        <v>2309</v>
      </c>
      <c r="G631" s="2" t="s">
        <v>28</v>
      </c>
      <c r="H631" s="2" t="s">
        <v>29</v>
      </c>
      <c r="I631" s="2" t="s">
        <v>30</v>
      </c>
      <c r="J631" s="2" t="s">
        <v>2310</v>
      </c>
      <c r="K631" s="2" t="s">
        <v>63</v>
      </c>
      <c r="L631" s="2" t="s">
        <v>89</v>
      </c>
      <c r="M631" s="3">
        <v>2</v>
      </c>
      <c r="N631" s="3">
        <v>1</v>
      </c>
      <c r="O631" s="9" t="s">
        <v>54</v>
      </c>
      <c r="P631" s="3">
        <v>0</v>
      </c>
    </row>
    <row r="632" spans="1:16" x14ac:dyDescent="0.3">
      <c r="A632" s="2" t="s">
        <v>2311</v>
      </c>
      <c r="B632" s="2" t="s">
        <v>2312</v>
      </c>
      <c r="C632" s="2" t="s">
        <v>18</v>
      </c>
      <c r="D632" s="5">
        <v>41.088912800000003</v>
      </c>
      <c r="E632" s="5">
        <v>36.630814200000003</v>
      </c>
      <c r="F632" s="2" t="s">
        <v>2313</v>
      </c>
      <c r="G632" s="2" t="s">
        <v>28</v>
      </c>
      <c r="H632" s="2" t="s">
        <v>29</v>
      </c>
      <c r="I632" s="2" t="s">
        <v>30</v>
      </c>
      <c r="J632" s="2" t="s">
        <v>2314</v>
      </c>
      <c r="K632" s="2" t="s">
        <v>22</v>
      </c>
      <c r="L632" s="2" t="s">
        <v>44</v>
      </c>
      <c r="M632" s="3">
        <v>1</v>
      </c>
      <c r="N632" s="3">
        <v>1</v>
      </c>
      <c r="O632" s="9" t="s">
        <v>24</v>
      </c>
      <c r="P632" s="3">
        <v>-2664.98</v>
      </c>
    </row>
    <row r="633" spans="1:16" x14ac:dyDescent="0.3">
      <c r="A633" s="2" t="s">
        <v>2315</v>
      </c>
      <c r="B633" s="2" t="s">
        <v>2316</v>
      </c>
      <c r="C633" s="2" t="s">
        <v>18</v>
      </c>
      <c r="D633" s="5">
        <v>41.643743000000001</v>
      </c>
      <c r="E633" s="5">
        <v>36.015269000000004</v>
      </c>
      <c r="F633" s="2" t="s">
        <v>2317</v>
      </c>
      <c r="G633" s="2" t="s">
        <v>28</v>
      </c>
      <c r="H633" s="2" t="s">
        <v>29</v>
      </c>
      <c r="I633" s="2" t="s">
        <v>30</v>
      </c>
      <c r="J633" s="2" t="s">
        <v>2318</v>
      </c>
      <c r="K633" s="2" t="s">
        <v>22</v>
      </c>
      <c r="L633" s="2" t="s">
        <v>53</v>
      </c>
      <c r="M633" s="3">
        <v>1</v>
      </c>
      <c r="N633" s="3">
        <v>1</v>
      </c>
      <c r="O633" s="9" t="s">
        <v>24</v>
      </c>
      <c r="P633" s="3">
        <v>0</v>
      </c>
    </row>
    <row r="634" spans="1:16" x14ac:dyDescent="0.3">
      <c r="A634" s="2" t="s">
        <v>2319</v>
      </c>
      <c r="B634" s="2" t="s">
        <v>2320</v>
      </c>
      <c r="C634" s="2" t="s">
        <v>18</v>
      </c>
      <c r="D634" s="5">
        <v>41.181210499999999</v>
      </c>
      <c r="E634" s="5">
        <v>36.691476000000002</v>
      </c>
      <c r="F634" s="2" t="s">
        <v>2321</v>
      </c>
      <c r="G634" s="2" t="s">
        <v>28</v>
      </c>
      <c r="H634" s="2" t="s">
        <v>29</v>
      </c>
      <c r="I634" s="2" t="s">
        <v>30</v>
      </c>
      <c r="J634" s="2" t="s">
        <v>2322</v>
      </c>
      <c r="K634" s="2" t="s">
        <v>22</v>
      </c>
      <c r="L634" s="2" t="s">
        <v>44</v>
      </c>
      <c r="M634" s="3">
        <v>0</v>
      </c>
      <c r="N634" s="3">
        <v>0</v>
      </c>
      <c r="O634" s="9" t="s">
        <v>24</v>
      </c>
      <c r="P634" s="3">
        <v>0</v>
      </c>
    </row>
    <row r="635" spans="1:16" x14ac:dyDescent="0.3">
      <c r="A635" s="2" t="s">
        <v>2323</v>
      </c>
      <c r="B635" s="2" t="s">
        <v>2324</v>
      </c>
      <c r="C635" s="2" t="s">
        <v>18</v>
      </c>
      <c r="D635" s="5">
        <v>41.801318299999998</v>
      </c>
      <c r="E635" s="5">
        <v>35.206568300000001</v>
      </c>
      <c r="F635" s="2" t="s">
        <v>2325</v>
      </c>
      <c r="G635" s="2" t="s">
        <v>28</v>
      </c>
      <c r="H635" s="2" t="s">
        <v>36</v>
      </c>
      <c r="I635" s="2" t="s">
        <v>30</v>
      </c>
      <c r="J635" s="2" t="s">
        <v>2326</v>
      </c>
      <c r="K635" s="2" t="s">
        <v>154</v>
      </c>
      <c r="L635" s="2" t="s">
        <v>302</v>
      </c>
      <c r="M635" s="3">
        <v>1</v>
      </c>
      <c r="N635" s="3">
        <v>1</v>
      </c>
      <c r="O635" s="9" t="s">
        <v>24</v>
      </c>
      <c r="P635" s="3">
        <v>-5462.46</v>
      </c>
    </row>
    <row r="636" spans="1:16" x14ac:dyDescent="0.3">
      <c r="A636" s="2" t="s">
        <v>2327</v>
      </c>
      <c r="B636" s="2" t="s">
        <v>2328</v>
      </c>
      <c r="C636" s="2" t="s">
        <v>18</v>
      </c>
      <c r="D636" s="5">
        <v>41.231616500000001</v>
      </c>
      <c r="E636" s="5">
        <v>36.816384900000003</v>
      </c>
      <c r="F636" s="2" t="s">
        <v>2329</v>
      </c>
      <c r="G636" s="2" t="s">
        <v>28</v>
      </c>
      <c r="H636" s="2" t="s">
        <v>29</v>
      </c>
      <c r="I636" s="2" t="s">
        <v>30</v>
      </c>
      <c r="J636" s="2" t="s">
        <v>2330</v>
      </c>
      <c r="K636" s="2" t="s">
        <v>22</v>
      </c>
      <c r="L636" s="2" t="s">
        <v>44</v>
      </c>
      <c r="M636" s="3">
        <v>1</v>
      </c>
      <c r="N636" s="3">
        <v>1</v>
      </c>
      <c r="O636" s="9" t="s">
        <v>24</v>
      </c>
      <c r="P636" s="3">
        <v>-2295.66</v>
      </c>
    </row>
    <row r="637" spans="1:16" x14ac:dyDescent="0.3">
      <c r="A637" s="2" t="s">
        <v>2331</v>
      </c>
      <c r="B637" s="2" t="s">
        <v>2332</v>
      </c>
      <c r="C637" s="2" t="s">
        <v>18</v>
      </c>
      <c r="D637" s="5">
        <v>41.272419999999997</v>
      </c>
      <c r="E637" s="5">
        <v>36.31635</v>
      </c>
      <c r="F637" s="2" t="s">
        <v>2333</v>
      </c>
      <c r="G637" s="2" t="s">
        <v>28</v>
      </c>
      <c r="H637" s="2" t="s">
        <v>36</v>
      </c>
      <c r="I637" s="2" t="s">
        <v>30</v>
      </c>
      <c r="J637" s="2" t="s">
        <v>2334</v>
      </c>
      <c r="K637" s="2" t="s">
        <v>22</v>
      </c>
      <c r="L637" s="2" t="s">
        <v>32</v>
      </c>
      <c r="M637" s="3">
        <v>0</v>
      </c>
      <c r="N637" s="3">
        <v>0</v>
      </c>
      <c r="O637" s="9" t="s">
        <v>54</v>
      </c>
      <c r="P637" s="3">
        <v>-0.09</v>
      </c>
    </row>
    <row r="638" spans="1:16" x14ac:dyDescent="0.3">
      <c r="A638" s="2" t="s">
        <v>2335</v>
      </c>
      <c r="B638" s="2" t="s">
        <v>2336</v>
      </c>
      <c r="C638" s="2" t="s">
        <v>18</v>
      </c>
      <c r="D638" s="5">
        <v>41.5731064</v>
      </c>
      <c r="E638" s="5">
        <v>35.866469899999998</v>
      </c>
      <c r="F638" s="2" t="s">
        <v>382</v>
      </c>
      <c r="G638" s="2" t="s">
        <v>28</v>
      </c>
      <c r="H638" s="2" t="s">
        <v>29</v>
      </c>
      <c r="I638" s="2" t="s">
        <v>30</v>
      </c>
      <c r="J638" s="2" t="s">
        <v>2337</v>
      </c>
      <c r="K638" s="2" t="s">
        <v>22</v>
      </c>
      <c r="L638" s="2" t="s">
        <v>53</v>
      </c>
      <c r="M638" s="3">
        <v>0</v>
      </c>
      <c r="N638" s="3">
        <v>1</v>
      </c>
      <c r="O638" s="9" t="s">
        <v>54</v>
      </c>
      <c r="P638" s="3">
        <v>-8213.08</v>
      </c>
    </row>
    <row r="639" spans="1:16" x14ac:dyDescent="0.3">
      <c r="A639" s="2" t="s">
        <v>2338</v>
      </c>
      <c r="B639" s="2" t="s">
        <v>2339</v>
      </c>
      <c r="C639" s="2" t="s">
        <v>18</v>
      </c>
      <c r="D639" s="5">
        <v>41.273316999999999</v>
      </c>
      <c r="E639" s="5">
        <v>36.318957300000001</v>
      </c>
      <c r="F639" s="2" t="s">
        <v>2340</v>
      </c>
      <c r="G639" s="2" t="s">
        <v>28</v>
      </c>
      <c r="H639" s="2" t="s">
        <v>29</v>
      </c>
      <c r="I639" s="2" t="s">
        <v>30</v>
      </c>
      <c r="J639" s="2" t="s">
        <v>2341</v>
      </c>
      <c r="K639" s="2" t="s">
        <v>22</v>
      </c>
      <c r="L639" s="2" t="s">
        <v>32</v>
      </c>
      <c r="M639" s="3">
        <v>1</v>
      </c>
      <c r="N639" s="3">
        <v>1</v>
      </c>
      <c r="O639" s="9" t="s">
        <v>24</v>
      </c>
      <c r="P639" s="3">
        <v>-2005.42</v>
      </c>
    </row>
    <row r="640" spans="1:16" x14ac:dyDescent="0.3">
      <c r="A640" s="2" t="s">
        <v>2342</v>
      </c>
      <c r="B640" s="2" t="s">
        <v>2343</v>
      </c>
      <c r="C640" s="2" t="s">
        <v>18</v>
      </c>
      <c r="D640" s="5">
        <v>41.2907838</v>
      </c>
      <c r="E640" s="5">
        <v>36.318441</v>
      </c>
      <c r="F640" s="2" t="s">
        <v>2344</v>
      </c>
      <c r="G640" s="2" t="s">
        <v>28</v>
      </c>
      <c r="H640" s="2" t="s">
        <v>29</v>
      </c>
      <c r="I640" s="2" t="s">
        <v>30</v>
      </c>
      <c r="J640" s="2" t="s">
        <v>2345</v>
      </c>
      <c r="K640" s="2" t="s">
        <v>22</v>
      </c>
      <c r="L640" s="2" t="s">
        <v>32</v>
      </c>
      <c r="M640" s="3">
        <v>0</v>
      </c>
      <c r="N640" s="3">
        <v>0</v>
      </c>
      <c r="O640" s="9" t="s">
        <v>24</v>
      </c>
      <c r="P640" s="3">
        <v>0</v>
      </c>
    </row>
    <row r="641" spans="1:16" x14ac:dyDescent="0.3">
      <c r="A641" s="2" t="s">
        <v>2346</v>
      </c>
      <c r="B641" s="2" t="s">
        <v>2347</v>
      </c>
      <c r="C641" s="2" t="s">
        <v>18</v>
      </c>
      <c r="D641" s="5">
        <v>40.910157300000002</v>
      </c>
      <c r="E641" s="5">
        <v>35.894726200000001</v>
      </c>
      <c r="F641" s="2" t="s">
        <v>2348</v>
      </c>
      <c r="G641" s="2" t="s">
        <v>28</v>
      </c>
      <c r="H641" s="2" t="s">
        <v>29</v>
      </c>
      <c r="I641" s="2" t="s">
        <v>30</v>
      </c>
      <c r="J641" s="2" t="s">
        <v>2349</v>
      </c>
      <c r="K641" s="2" t="s">
        <v>22</v>
      </c>
      <c r="L641" s="2" t="s">
        <v>76</v>
      </c>
      <c r="M641" s="3">
        <v>1</v>
      </c>
      <c r="N641" s="3">
        <v>1</v>
      </c>
      <c r="O641" s="9" t="s">
        <v>54</v>
      </c>
      <c r="P641" s="3">
        <v>-9072.2099999999991</v>
      </c>
    </row>
    <row r="642" spans="1:16" x14ac:dyDescent="0.3">
      <c r="A642" s="2" t="s">
        <v>2350</v>
      </c>
      <c r="B642" s="2" t="s">
        <v>2351</v>
      </c>
      <c r="C642" s="2" t="s">
        <v>18</v>
      </c>
      <c r="D642" s="5">
        <v>41.256799600000001</v>
      </c>
      <c r="E642" s="5">
        <v>36.334094499999999</v>
      </c>
      <c r="F642" s="2" t="s">
        <v>2352</v>
      </c>
      <c r="G642" s="2" t="s">
        <v>28</v>
      </c>
      <c r="H642" s="2" t="s">
        <v>29</v>
      </c>
      <c r="I642" s="2" t="s">
        <v>30</v>
      </c>
      <c r="J642" s="2" t="s">
        <v>2353</v>
      </c>
      <c r="K642" s="2" t="s">
        <v>22</v>
      </c>
      <c r="L642" s="2" t="s">
        <v>99</v>
      </c>
      <c r="M642" s="3">
        <v>2</v>
      </c>
      <c r="N642" s="3">
        <v>1</v>
      </c>
      <c r="O642" s="9" t="s">
        <v>24</v>
      </c>
      <c r="P642" s="3">
        <v>0</v>
      </c>
    </row>
    <row r="643" spans="1:16" x14ac:dyDescent="0.3">
      <c r="A643" s="2" t="s">
        <v>2354</v>
      </c>
      <c r="B643" s="2" t="s">
        <v>2355</v>
      </c>
      <c r="C643" s="2" t="s">
        <v>18</v>
      </c>
      <c r="D643" s="5">
        <v>41.120911200000002</v>
      </c>
      <c r="E643" s="5">
        <v>37.280357100000003</v>
      </c>
      <c r="F643" s="2" t="s">
        <v>2356</v>
      </c>
      <c r="G643" s="2" t="s">
        <v>28</v>
      </c>
      <c r="H643" s="2" t="s">
        <v>29</v>
      </c>
      <c r="I643" s="2" t="s">
        <v>30</v>
      </c>
      <c r="J643" s="2" t="s">
        <v>2357</v>
      </c>
      <c r="K643" s="2" t="s">
        <v>63</v>
      </c>
      <c r="L643" s="2" t="s">
        <v>89</v>
      </c>
      <c r="M643" s="3">
        <v>0</v>
      </c>
      <c r="N643" s="3">
        <v>1</v>
      </c>
      <c r="O643" s="9" t="s">
        <v>54</v>
      </c>
      <c r="P643" s="3">
        <v>20058.53</v>
      </c>
    </row>
    <row r="644" spans="1:16" x14ac:dyDescent="0.3">
      <c r="A644" s="2" t="s">
        <v>2358</v>
      </c>
      <c r="B644" s="2" t="s">
        <v>2359</v>
      </c>
      <c r="C644" s="2" t="s">
        <v>18</v>
      </c>
      <c r="D644" s="5">
        <v>41.205487193099998</v>
      </c>
      <c r="E644" s="5">
        <v>36.722683395099999</v>
      </c>
      <c r="F644" s="2" t="s">
        <v>2360</v>
      </c>
      <c r="G644" s="2" t="s">
        <v>28</v>
      </c>
      <c r="H644" s="2" t="s">
        <v>29</v>
      </c>
      <c r="I644" s="2" t="s">
        <v>30</v>
      </c>
      <c r="J644" s="2" t="s">
        <v>2361</v>
      </c>
      <c r="K644" s="2" t="s">
        <v>22</v>
      </c>
      <c r="L644" s="2" t="s">
        <v>44</v>
      </c>
      <c r="M644" s="3">
        <v>0</v>
      </c>
      <c r="N644" s="3">
        <v>1</v>
      </c>
      <c r="O644" s="9" t="s">
        <v>24</v>
      </c>
      <c r="P644" s="3">
        <v>-0.09</v>
      </c>
    </row>
    <row r="645" spans="1:16" x14ac:dyDescent="0.3">
      <c r="A645" s="2" t="s">
        <v>2362</v>
      </c>
      <c r="B645" s="2" t="s">
        <v>2363</v>
      </c>
      <c r="C645" s="2" t="s">
        <v>18</v>
      </c>
      <c r="D645" s="5">
        <v>41.143269799999999</v>
      </c>
      <c r="E645" s="5">
        <v>37.286737000000002</v>
      </c>
      <c r="F645" s="2" t="s">
        <v>2364</v>
      </c>
      <c r="G645" s="2" t="s">
        <v>221</v>
      </c>
      <c r="H645" s="2" t="s">
        <v>222</v>
      </c>
      <c r="I645" s="2" t="s">
        <v>222</v>
      </c>
      <c r="J645" s="2" t="s">
        <v>2365</v>
      </c>
      <c r="K645" s="2" t="s">
        <v>63</v>
      </c>
      <c r="L645" s="2" t="s">
        <v>89</v>
      </c>
      <c r="M645" s="3">
        <v>1</v>
      </c>
      <c r="N645" s="3">
        <v>1</v>
      </c>
      <c r="O645" s="9" t="s">
        <v>54</v>
      </c>
      <c r="P645" s="3">
        <v>-0.98</v>
      </c>
    </row>
    <row r="646" spans="1:16" x14ac:dyDescent="0.3">
      <c r="A646" s="2" t="s">
        <v>2366</v>
      </c>
      <c r="B646" s="2" t="s">
        <v>2367</v>
      </c>
      <c r="C646" s="2" t="s">
        <v>18</v>
      </c>
      <c r="D646" s="5">
        <v>40.950514599999998</v>
      </c>
      <c r="E646" s="5">
        <v>36.979081600000001</v>
      </c>
      <c r="F646" s="2" t="s">
        <v>2368</v>
      </c>
      <c r="G646" s="2" t="s">
        <v>28</v>
      </c>
      <c r="H646" s="2" t="s">
        <v>29</v>
      </c>
      <c r="I646" s="2" t="s">
        <v>30</v>
      </c>
      <c r="J646" s="2" t="s">
        <v>2369</v>
      </c>
      <c r="K646" s="2" t="s">
        <v>63</v>
      </c>
      <c r="L646" s="2" t="s">
        <v>94</v>
      </c>
      <c r="M646" s="3">
        <v>1</v>
      </c>
      <c r="N646" s="3">
        <v>1</v>
      </c>
      <c r="O646" s="9" t="s">
        <v>24</v>
      </c>
      <c r="P646" s="3">
        <v>-0.06</v>
      </c>
    </row>
    <row r="647" spans="1:16" x14ac:dyDescent="0.3">
      <c r="A647" s="2" t="s">
        <v>2370</v>
      </c>
      <c r="B647" s="2" t="s">
        <v>2371</v>
      </c>
      <c r="C647" s="2" t="s">
        <v>18</v>
      </c>
      <c r="D647" s="5">
        <v>40.931114999999998</v>
      </c>
      <c r="E647" s="5">
        <v>36.965213300000002</v>
      </c>
      <c r="F647" s="2" t="s">
        <v>2372</v>
      </c>
      <c r="G647" s="2" t="s">
        <v>28</v>
      </c>
      <c r="H647" s="2" t="s">
        <v>29</v>
      </c>
      <c r="I647" s="2" t="s">
        <v>30</v>
      </c>
      <c r="J647" s="2" t="s">
        <v>2373</v>
      </c>
      <c r="K647" s="2" t="s">
        <v>63</v>
      </c>
      <c r="L647" s="2" t="s">
        <v>94</v>
      </c>
      <c r="M647" s="3">
        <v>1</v>
      </c>
      <c r="N647" s="3">
        <v>1</v>
      </c>
      <c r="O647" s="9" t="s">
        <v>54</v>
      </c>
      <c r="P647" s="3">
        <v>-2.68</v>
      </c>
    </row>
    <row r="648" spans="1:16" x14ac:dyDescent="0.3">
      <c r="A648" s="2" t="s">
        <v>2374</v>
      </c>
      <c r="B648" s="2" t="s">
        <v>2375</v>
      </c>
      <c r="C648" s="2" t="s">
        <v>18</v>
      </c>
      <c r="D648" s="5">
        <v>41.5423391</v>
      </c>
      <c r="E648" s="5">
        <v>35.916445699999997</v>
      </c>
      <c r="F648" s="2" t="s">
        <v>2376</v>
      </c>
      <c r="G648" s="2" t="s">
        <v>28</v>
      </c>
      <c r="H648" s="2" t="s">
        <v>29</v>
      </c>
      <c r="I648" s="2" t="s">
        <v>30</v>
      </c>
      <c r="J648" s="2" t="s">
        <v>2377</v>
      </c>
      <c r="K648" s="2" t="s">
        <v>22</v>
      </c>
      <c r="L648" s="2" t="s">
        <v>53</v>
      </c>
      <c r="M648" s="3">
        <v>0</v>
      </c>
      <c r="N648" s="3">
        <v>1</v>
      </c>
      <c r="O648" s="9" t="s">
        <v>24</v>
      </c>
      <c r="P648" s="3">
        <v>-930.21</v>
      </c>
    </row>
    <row r="649" spans="1:16" x14ac:dyDescent="0.3">
      <c r="A649" s="2" t="s">
        <v>2378</v>
      </c>
      <c r="B649" s="2" t="s">
        <v>2379</v>
      </c>
      <c r="C649" s="2" t="s">
        <v>18</v>
      </c>
      <c r="D649" s="5">
        <v>41.131</v>
      </c>
      <c r="E649" s="5">
        <v>37.213000000000001</v>
      </c>
      <c r="F649" s="2" t="s">
        <v>2380</v>
      </c>
      <c r="G649" s="2" t="s">
        <v>28</v>
      </c>
      <c r="H649" s="2" t="s">
        <v>29</v>
      </c>
      <c r="I649" s="2" t="s">
        <v>30</v>
      </c>
      <c r="J649" s="2" t="s">
        <v>2381</v>
      </c>
      <c r="K649" s="2" t="s">
        <v>63</v>
      </c>
      <c r="L649" s="2" t="s">
        <v>89</v>
      </c>
      <c r="M649" s="3">
        <v>0</v>
      </c>
      <c r="N649" s="3">
        <v>0</v>
      </c>
      <c r="O649" s="9" t="s">
        <v>54</v>
      </c>
      <c r="P649" s="3">
        <v>0</v>
      </c>
    </row>
    <row r="650" spans="1:16" x14ac:dyDescent="0.3">
      <c r="A650" s="2" t="s">
        <v>2382</v>
      </c>
      <c r="B650" s="2" t="s">
        <v>2383</v>
      </c>
      <c r="C650" s="2" t="s">
        <v>18</v>
      </c>
      <c r="D650" s="5">
        <v>41.203056699999998</v>
      </c>
      <c r="E650" s="5">
        <v>36.718238300000003</v>
      </c>
      <c r="F650" s="2" t="s">
        <v>2384</v>
      </c>
      <c r="G650" s="2" t="s">
        <v>28</v>
      </c>
      <c r="H650" s="2" t="s">
        <v>29</v>
      </c>
      <c r="I650" s="2" t="s">
        <v>30</v>
      </c>
      <c r="J650" s="2" t="s">
        <v>2385</v>
      </c>
      <c r="K650" s="2" t="s">
        <v>22</v>
      </c>
      <c r="L650" s="2" t="s">
        <v>44</v>
      </c>
      <c r="M650" s="3">
        <v>0</v>
      </c>
      <c r="N650" s="3">
        <v>1</v>
      </c>
      <c r="O650" s="9" t="s">
        <v>24</v>
      </c>
      <c r="P650" s="3">
        <v>-0.02</v>
      </c>
    </row>
    <row r="651" spans="1:16" x14ac:dyDescent="0.3">
      <c r="A651" s="2" t="s">
        <v>2386</v>
      </c>
      <c r="B651" s="2" t="s">
        <v>2387</v>
      </c>
      <c r="C651" s="2" t="s">
        <v>18</v>
      </c>
      <c r="D651" s="5">
        <v>42.005867799999997</v>
      </c>
      <c r="E651" s="5">
        <v>35.103063800000001</v>
      </c>
      <c r="F651" s="2" t="s">
        <v>2388</v>
      </c>
      <c r="G651" s="2" t="s">
        <v>28</v>
      </c>
      <c r="H651" s="2" t="s">
        <v>29</v>
      </c>
      <c r="I651" s="2" t="s">
        <v>30</v>
      </c>
      <c r="J651" s="2" t="s">
        <v>2389</v>
      </c>
      <c r="K651" s="2" t="s">
        <v>154</v>
      </c>
      <c r="L651" s="2" t="s">
        <v>155</v>
      </c>
      <c r="M651" s="3">
        <v>1</v>
      </c>
      <c r="N651" s="3">
        <v>1</v>
      </c>
      <c r="O651" s="9" t="s">
        <v>24</v>
      </c>
      <c r="P651" s="3">
        <v>0</v>
      </c>
    </row>
    <row r="652" spans="1:16" x14ac:dyDescent="0.3">
      <c r="A652" s="2" t="s">
        <v>2390</v>
      </c>
      <c r="B652" s="2" t="s">
        <v>2391</v>
      </c>
      <c r="C652" s="2" t="s">
        <v>18</v>
      </c>
      <c r="D652" s="5">
        <v>41.145038999999997</v>
      </c>
      <c r="E652" s="5">
        <v>35.467291000000003</v>
      </c>
      <c r="F652" s="2" t="s">
        <v>2392</v>
      </c>
      <c r="G652" s="2" t="s">
        <v>221</v>
      </c>
      <c r="H652" s="2" t="s">
        <v>222</v>
      </c>
      <c r="I652" s="2" t="s">
        <v>2393</v>
      </c>
      <c r="J652" s="2" t="s">
        <v>2394</v>
      </c>
      <c r="K652" s="2" t="s">
        <v>22</v>
      </c>
      <c r="L652" s="2" t="s">
        <v>164</v>
      </c>
      <c r="M652" s="3">
        <v>0</v>
      </c>
      <c r="N652" s="3">
        <v>0</v>
      </c>
      <c r="O652" s="9" t="s">
        <v>24</v>
      </c>
      <c r="P652" s="3">
        <v>0</v>
      </c>
    </row>
    <row r="653" spans="1:16" x14ac:dyDescent="0.3">
      <c r="A653" s="2" t="s">
        <v>2395</v>
      </c>
      <c r="B653" s="2" t="s">
        <v>2396</v>
      </c>
      <c r="C653" s="2" t="s">
        <v>18</v>
      </c>
      <c r="D653" s="5">
        <v>41.268819000000001</v>
      </c>
      <c r="E653" s="5">
        <v>36.315362999999998</v>
      </c>
      <c r="F653" s="2" t="s">
        <v>2397</v>
      </c>
      <c r="G653" s="2" t="s">
        <v>28</v>
      </c>
      <c r="H653" s="2" t="s">
        <v>29</v>
      </c>
      <c r="I653" s="2" t="s">
        <v>30</v>
      </c>
      <c r="J653" s="2" t="s">
        <v>2398</v>
      </c>
      <c r="K653" s="2" t="s">
        <v>22</v>
      </c>
      <c r="L653" s="2" t="s">
        <v>32</v>
      </c>
      <c r="M653" s="3">
        <v>0</v>
      </c>
      <c r="N653" s="3">
        <v>0</v>
      </c>
      <c r="O653" s="9" t="s">
        <v>24</v>
      </c>
      <c r="P653" s="3">
        <v>-7.0000000000000007E-2</v>
      </c>
    </row>
    <row r="654" spans="1:16" x14ac:dyDescent="0.3">
      <c r="A654" s="2" t="s">
        <v>2399</v>
      </c>
      <c r="B654" s="2" t="s">
        <v>2400</v>
      </c>
      <c r="C654" s="2" t="s">
        <v>18</v>
      </c>
      <c r="D654" s="5">
        <v>40.9093965</v>
      </c>
      <c r="E654" s="5">
        <v>35.894465599999997</v>
      </c>
      <c r="F654" s="2" t="s">
        <v>2401</v>
      </c>
      <c r="G654" s="2" t="s">
        <v>28</v>
      </c>
      <c r="H654" s="2" t="s">
        <v>29</v>
      </c>
      <c r="I654" s="2" t="s">
        <v>30</v>
      </c>
      <c r="J654" s="2" t="s">
        <v>2402</v>
      </c>
      <c r="K654" s="2" t="s">
        <v>22</v>
      </c>
      <c r="L654" s="2" t="s">
        <v>76</v>
      </c>
      <c r="M654" s="3">
        <v>4</v>
      </c>
      <c r="N654" s="3">
        <v>1</v>
      </c>
      <c r="O654" s="9" t="s">
        <v>24</v>
      </c>
      <c r="P654" s="3">
        <v>-49.44</v>
      </c>
    </row>
    <row r="655" spans="1:16" x14ac:dyDescent="0.3">
      <c r="A655" s="2" t="s">
        <v>2403</v>
      </c>
      <c r="B655" s="2" t="s">
        <v>2404</v>
      </c>
      <c r="C655" s="2" t="s">
        <v>18</v>
      </c>
      <c r="D655" s="5">
        <v>41.283070000000002</v>
      </c>
      <c r="E655" s="5">
        <v>36.338217999999998</v>
      </c>
      <c r="F655" s="2" t="s">
        <v>1768</v>
      </c>
      <c r="G655" s="2" t="s">
        <v>221</v>
      </c>
      <c r="H655" s="2" t="s">
        <v>222</v>
      </c>
      <c r="I655" s="2" t="s">
        <v>222</v>
      </c>
      <c r="J655" s="2" t="s">
        <v>2405</v>
      </c>
      <c r="K655" s="2" t="s">
        <v>22</v>
      </c>
      <c r="L655" s="2" t="s">
        <v>32</v>
      </c>
      <c r="M655" s="3">
        <v>0</v>
      </c>
      <c r="N655" s="3">
        <v>0</v>
      </c>
      <c r="O655" s="9" t="s">
        <v>24</v>
      </c>
      <c r="P655" s="3">
        <v>0</v>
      </c>
    </row>
    <row r="656" spans="1:16" x14ac:dyDescent="0.3">
      <c r="A656" s="2" t="s">
        <v>2406</v>
      </c>
      <c r="B656" s="2" t="s">
        <v>2407</v>
      </c>
      <c r="C656" s="2" t="s">
        <v>18</v>
      </c>
      <c r="D656" s="5">
        <v>41.553368300000002</v>
      </c>
      <c r="E656" s="5">
        <v>35.932686400000001</v>
      </c>
      <c r="F656" s="2" t="s">
        <v>2408</v>
      </c>
      <c r="G656" s="2" t="s">
        <v>28</v>
      </c>
      <c r="H656" s="2" t="s">
        <v>29</v>
      </c>
      <c r="I656" s="2" t="s">
        <v>30</v>
      </c>
      <c r="J656" s="2" t="s">
        <v>2409</v>
      </c>
      <c r="K656" s="2" t="s">
        <v>22</v>
      </c>
      <c r="L656" s="2" t="s">
        <v>53</v>
      </c>
      <c r="M656" s="3">
        <v>2</v>
      </c>
      <c r="N656" s="3">
        <v>1</v>
      </c>
      <c r="O656" s="9" t="s">
        <v>24</v>
      </c>
      <c r="P656" s="3">
        <v>0</v>
      </c>
    </row>
    <row r="657" spans="1:16" x14ac:dyDescent="0.3">
      <c r="A657" s="2" t="s">
        <v>2410</v>
      </c>
      <c r="B657" s="2" t="s">
        <v>2411</v>
      </c>
      <c r="C657" s="2" t="s">
        <v>18</v>
      </c>
      <c r="D657" s="5">
        <v>41.217157</v>
      </c>
      <c r="E657" s="5">
        <v>35.341386999999997</v>
      </c>
      <c r="F657" s="2" t="s">
        <v>2412</v>
      </c>
      <c r="G657" s="2" t="s">
        <v>28</v>
      </c>
      <c r="H657" s="2" t="s">
        <v>29</v>
      </c>
      <c r="I657" s="2" t="s">
        <v>30</v>
      </c>
      <c r="J657" s="2" t="s">
        <v>2413</v>
      </c>
      <c r="K657" s="2" t="s">
        <v>22</v>
      </c>
      <c r="L657" s="2" t="s">
        <v>164</v>
      </c>
      <c r="M657" s="3">
        <v>0</v>
      </c>
      <c r="N657" s="3">
        <v>0</v>
      </c>
      <c r="O657" s="9" t="s">
        <v>54</v>
      </c>
      <c r="P657" s="3">
        <v>0</v>
      </c>
    </row>
    <row r="658" spans="1:16" x14ac:dyDescent="0.3">
      <c r="A658" s="2" t="s">
        <v>2414</v>
      </c>
      <c r="B658" s="2" t="s">
        <v>2415</v>
      </c>
      <c r="C658" s="2" t="s">
        <v>18</v>
      </c>
      <c r="D658" s="5">
        <v>41.808340999999999</v>
      </c>
      <c r="E658" s="5">
        <v>35.183022000000001</v>
      </c>
      <c r="F658" s="2" t="s">
        <v>2416</v>
      </c>
      <c r="G658" s="2" t="s">
        <v>28</v>
      </c>
      <c r="H658" s="2" t="s">
        <v>29</v>
      </c>
      <c r="I658" s="2" t="s">
        <v>30</v>
      </c>
      <c r="J658" s="2" t="s">
        <v>2417</v>
      </c>
      <c r="K658" s="2" t="s">
        <v>154</v>
      </c>
      <c r="L658" s="2" t="s">
        <v>302</v>
      </c>
      <c r="M658" s="3">
        <v>0</v>
      </c>
      <c r="N658" s="3">
        <v>0</v>
      </c>
      <c r="O658" s="9" t="s">
        <v>24</v>
      </c>
      <c r="P658" s="3">
        <v>0</v>
      </c>
    </row>
    <row r="659" spans="1:16" x14ac:dyDescent="0.3">
      <c r="A659" s="2" t="s">
        <v>2418</v>
      </c>
      <c r="B659" s="2" t="s">
        <v>2419</v>
      </c>
      <c r="C659" s="2" t="s">
        <v>18</v>
      </c>
      <c r="D659" s="5">
        <v>41.270411000000003</v>
      </c>
      <c r="E659" s="5">
        <v>36.363109999999999</v>
      </c>
      <c r="F659" s="2" t="s">
        <v>2420</v>
      </c>
      <c r="G659" s="2" t="s">
        <v>28</v>
      </c>
      <c r="H659" s="2" t="s">
        <v>29</v>
      </c>
      <c r="I659" s="2" t="s">
        <v>30</v>
      </c>
      <c r="J659" s="2" t="s">
        <v>2421</v>
      </c>
      <c r="K659" s="2" t="s">
        <v>22</v>
      </c>
      <c r="L659" s="2" t="s">
        <v>99</v>
      </c>
      <c r="M659" s="3">
        <v>0</v>
      </c>
      <c r="N659" s="3">
        <v>0</v>
      </c>
      <c r="O659" s="9" t="s">
        <v>24</v>
      </c>
      <c r="P659" s="3">
        <v>0</v>
      </c>
    </row>
    <row r="660" spans="1:16" x14ac:dyDescent="0.3">
      <c r="A660" s="2" t="s">
        <v>2422</v>
      </c>
      <c r="B660" s="2" t="s">
        <v>2423</v>
      </c>
      <c r="C660" s="2" t="s">
        <v>18</v>
      </c>
      <c r="D660" s="5">
        <v>41.155450999999999</v>
      </c>
      <c r="E660" s="5">
        <v>35.104700000000001</v>
      </c>
      <c r="F660" s="2" t="s">
        <v>2424</v>
      </c>
      <c r="G660" s="2" t="s">
        <v>28</v>
      </c>
      <c r="H660" s="2" t="s">
        <v>29</v>
      </c>
      <c r="I660" s="2" t="s">
        <v>30</v>
      </c>
      <c r="J660" s="2" t="s">
        <v>2425</v>
      </c>
      <c r="K660" s="2" t="s">
        <v>22</v>
      </c>
      <c r="L660" s="2" t="s">
        <v>164</v>
      </c>
      <c r="M660" s="3">
        <v>0</v>
      </c>
      <c r="N660" s="3">
        <v>0</v>
      </c>
      <c r="O660" s="9" t="s">
        <v>24</v>
      </c>
      <c r="P660" s="3">
        <v>0</v>
      </c>
    </row>
    <row r="661" spans="1:16" x14ac:dyDescent="0.3">
      <c r="A661" s="2" t="s">
        <v>2426</v>
      </c>
      <c r="B661" s="2" t="s">
        <v>2427</v>
      </c>
      <c r="C661" s="2" t="s">
        <v>18</v>
      </c>
      <c r="D661" s="5">
        <v>41.224617000000002</v>
      </c>
      <c r="E661" s="5">
        <v>36.437711</v>
      </c>
      <c r="F661" s="2" t="s">
        <v>1768</v>
      </c>
      <c r="G661" s="2" t="s">
        <v>221</v>
      </c>
      <c r="H661" s="2" t="s">
        <v>918</v>
      </c>
      <c r="I661" s="2" t="s">
        <v>918</v>
      </c>
      <c r="J661" s="2" t="s">
        <v>2428</v>
      </c>
      <c r="K661" s="2" t="s">
        <v>22</v>
      </c>
      <c r="L661" s="2" t="s">
        <v>39</v>
      </c>
      <c r="M661" s="3">
        <v>0</v>
      </c>
      <c r="N661" s="3">
        <v>0</v>
      </c>
      <c r="O661" s="9" t="s">
        <v>54</v>
      </c>
      <c r="P661" s="3">
        <v>0</v>
      </c>
    </row>
    <row r="662" spans="1:16" x14ac:dyDescent="0.3">
      <c r="A662" s="2" t="s">
        <v>2429</v>
      </c>
      <c r="B662" s="2" t="s">
        <v>2430</v>
      </c>
      <c r="C662" s="2" t="s">
        <v>18</v>
      </c>
      <c r="D662" s="5">
        <v>40.793466000000002</v>
      </c>
      <c r="E662" s="5">
        <v>37.018064000000003</v>
      </c>
      <c r="F662" s="2" t="s">
        <v>2431</v>
      </c>
      <c r="G662" s="2" t="s">
        <v>28</v>
      </c>
      <c r="H662" s="2" t="s">
        <v>29</v>
      </c>
      <c r="I662" s="2" t="s">
        <v>30</v>
      </c>
      <c r="J662" s="2" t="s">
        <v>2432</v>
      </c>
      <c r="K662" s="2" t="s">
        <v>63</v>
      </c>
      <c r="L662" s="2" t="s">
        <v>64</v>
      </c>
      <c r="M662" s="3">
        <v>2</v>
      </c>
      <c r="N662" s="3">
        <v>1</v>
      </c>
      <c r="O662" s="9" t="s">
        <v>24</v>
      </c>
      <c r="P662" s="3">
        <v>-803.91</v>
      </c>
    </row>
    <row r="663" spans="1:16" x14ac:dyDescent="0.3">
      <c r="A663" s="2" t="s">
        <v>2433</v>
      </c>
      <c r="B663" s="2" t="s">
        <v>2434</v>
      </c>
      <c r="C663" s="2" t="s">
        <v>18</v>
      </c>
      <c r="D663" s="5">
        <v>40.793500999999999</v>
      </c>
      <c r="E663" s="5">
        <v>37.017015999999998</v>
      </c>
      <c r="F663" s="2" t="s">
        <v>2435</v>
      </c>
      <c r="G663" s="2" t="s">
        <v>28</v>
      </c>
      <c r="H663" s="2" t="s">
        <v>29</v>
      </c>
      <c r="I663" s="2" t="s">
        <v>30</v>
      </c>
      <c r="J663" s="2" t="s">
        <v>2436</v>
      </c>
      <c r="K663" s="2" t="s">
        <v>63</v>
      </c>
      <c r="L663" s="2" t="s">
        <v>64</v>
      </c>
      <c r="M663" s="3">
        <v>1</v>
      </c>
      <c r="N663" s="3">
        <v>1</v>
      </c>
      <c r="O663" s="9" t="s">
        <v>54</v>
      </c>
      <c r="P663" s="3">
        <v>0</v>
      </c>
    </row>
    <row r="664" spans="1:16" x14ac:dyDescent="0.3">
      <c r="A664" s="2" t="s">
        <v>2437</v>
      </c>
      <c r="B664" s="2" t="s">
        <v>2438</v>
      </c>
      <c r="C664" s="2" t="s">
        <v>18</v>
      </c>
      <c r="D664" s="5">
        <v>42.004255200000003</v>
      </c>
      <c r="E664" s="5">
        <v>35.070148099999997</v>
      </c>
      <c r="F664" s="2" t="s">
        <v>2439</v>
      </c>
      <c r="G664" s="2" t="s">
        <v>28</v>
      </c>
      <c r="H664" s="2" t="s">
        <v>29</v>
      </c>
      <c r="I664" s="2" t="s">
        <v>30</v>
      </c>
      <c r="J664" s="2" t="s">
        <v>2440</v>
      </c>
      <c r="K664" s="2" t="s">
        <v>154</v>
      </c>
      <c r="L664" s="2" t="s">
        <v>155</v>
      </c>
      <c r="M664" s="3">
        <v>0</v>
      </c>
      <c r="N664" s="3">
        <v>1</v>
      </c>
      <c r="O664" s="9" t="s">
        <v>24</v>
      </c>
      <c r="P664" s="3">
        <v>0</v>
      </c>
    </row>
    <row r="665" spans="1:16" x14ac:dyDescent="0.3">
      <c r="A665" s="2" t="s">
        <v>2441</v>
      </c>
      <c r="B665" s="2" t="s">
        <v>2442</v>
      </c>
      <c r="C665" s="2" t="s">
        <v>18</v>
      </c>
      <c r="D665" s="5">
        <v>41.063296999999999</v>
      </c>
      <c r="E665" s="5">
        <v>35.476376000000002</v>
      </c>
      <c r="F665" s="2" t="s">
        <v>2443</v>
      </c>
      <c r="G665" s="2" t="s">
        <v>28</v>
      </c>
      <c r="H665" s="2" t="s">
        <v>29</v>
      </c>
      <c r="I665" s="2" t="s">
        <v>30</v>
      </c>
      <c r="J665" s="2" t="s">
        <v>2444</v>
      </c>
      <c r="K665" s="2" t="s">
        <v>22</v>
      </c>
      <c r="L665" s="2" t="s">
        <v>164</v>
      </c>
      <c r="M665" s="3">
        <v>1</v>
      </c>
      <c r="N665" s="3">
        <v>1</v>
      </c>
      <c r="O665" s="9" t="s">
        <v>24</v>
      </c>
      <c r="P665" s="3">
        <v>0</v>
      </c>
    </row>
    <row r="666" spans="1:16" x14ac:dyDescent="0.3">
      <c r="A666" s="2" t="s">
        <v>2445</v>
      </c>
      <c r="B666" s="2" t="s">
        <v>2446</v>
      </c>
      <c r="C666" s="2" t="s">
        <v>18</v>
      </c>
      <c r="D666" s="5">
        <v>41.468282000000002</v>
      </c>
      <c r="E666" s="5">
        <v>36.125757</v>
      </c>
      <c r="F666" s="2" t="s">
        <v>2447</v>
      </c>
      <c r="G666" s="2" t="s">
        <v>28</v>
      </c>
      <c r="H666" s="2" t="s">
        <v>29</v>
      </c>
      <c r="I666" s="2" t="s">
        <v>30</v>
      </c>
      <c r="J666" s="2" t="s">
        <v>2448</v>
      </c>
      <c r="K666" s="2" t="s">
        <v>22</v>
      </c>
      <c r="L666" s="2" t="s">
        <v>394</v>
      </c>
      <c r="M666" s="3">
        <v>0</v>
      </c>
      <c r="N666" s="3">
        <v>0</v>
      </c>
      <c r="O666" s="9" t="s">
        <v>54</v>
      </c>
      <c r="P666" s="3">
        <v>0</v>
      </c>
    </row>
    <row r="667" spans="1:16" x14ac:dyDescent="0.3">
      <c r="A667" s="2" t="s">
        <v>2449</v>
      </c>
      <c r="B667" s="2" t="s">
        <v>2450</v>
      </c>
      <c r="C667" s="2" t="s">
        <v>18</v>
      </c>
      <c r="D667" s="5">
        <v>42.002707299999997</v>
      </c>
      <c r="E667" s="5">
        <v>35.0770439</v>
      </c>
      <c r="F667" s="2" t="s">
        <v>54</v>
      </c>
      <c r="G667" s="2" t="s">
        <v>259</v>
      </c>
      <c r="H667" s="2" t="s">
        <v>260</v>
      </c>
      <c r="I667" s="2" t="s">
        <v>260</v>
      </c>
      <c r="J667" s="2" t="s">
        <v>2451</v>
      </c>
      <c r="K667" s="2" t="s">
        <v>154</v>
      </c>
      <c r="L667" s="2" t="s">
        <v>155</v>
      </c>
      <c r="M667" s="3">
        <v>1</v>
      </c>
      <c r="N667" s="3">
        <v>1</v>
      </c>
      <c r="O667" s="9" t="s">
        <v>24</v>
      </c>
      <c r="P667" s="3">
        <v>0</v>
      </c>
    </row>
    <row r="668" spans="1:16" x14ac:dyDescent="0.3">
      <c r="A668" s="2" t="s">
        <v>2452</v>
      </c>
      <c r="B668" s="2" t="s">
        <v>2453</v>
      </c>
      <c r="C668" s="2" t="s">
        <v>18</v>
      </c>
      <c r="D668" s="5">
        <v>41.347472000000003</v>
      </c>
      <c r="E668" s="5">
        <v>36.2505989</v>
      </c>
      <c r="F668" s="2" t="s">
        <v>2454</v>
      </c>
      <c r="G668" s="2" t="s">
        <v>221</v>
      </c>
      <c r="H668" s="2" t="s">
        <v>222</v>
      </c>
      <c r="I668" s="2" t="s">
        <v>222</v>
      </c>
      <c r="J668" s="2" t="s">
        <v>2455</v>
      </c>
      <c r="K668" s="2" t="s">
        <v>22</v>
      </c>
      <c r="L668" s="2" t="s">
        <v>23</v>
      </c>
      <c r="M668" s="3">
        <v>2</v>
      </c>
      <c r="N668" s="3">
        <v>1</v>
      </c>
      <c r="O668" s="9" t="s">
        <v>24</v>
      </c>
      <c r="P668" s="3">
        <v>-0.03</v>
      </c>
    </row>
    <row r="669" spans="1:16" x14ac:dyDescent="0.3">
      <c r="A669" s="2" t="s">
        <v>2456</v>
      </c>
      <c r="B669" s="2" t="s">
        <v>2457</v>
      </c>
      <c r="C669" s="2" t="s">
        <v>18</v>
      </c>
      <c r="D669" s="5">
        <v>40.962608299999999</v>
      </c>
      <c r="E669" s="5">
        <v>35.663976699999999</v>
      </c>
      <c r="F669" s="2" t="s">
        <v>2458</v>
      </c>
      <c r="G669" s="2" t="s">
        <v>221</v>
      </c>
      <c r="H669" s="2" t="s">
        <v>222</v>
      </c>
      <c r="I669" s="2" t="s">
        <v>2393</v>
      </c>
      <c r="J669" s="2" t="s">
        <v>2459</v>
      </c>
      <c r="K669" s="2" t="s">
        <v>22</v>
      </c>
      <c r="L669" s="2" t="s">
        <v>193</v>
      </c>
      <c r="M669" s="3">
        <v>1</v>
      </c>
      <c r="N669" s="3">
        <v>1</v>
      </c>
      <c r="O669" s="9" t="s">
        <v>24</v>
      </c>
      <c r="P669" s="3">
        <v>0</v>
      </c>
    </row>
    <row r="670" spans="1:16" x14ac:dyDescent="0.3">
      <c r="A670" s="2" t="s">
        <v>2460</v>
      </c>
      <c r="B670" s="2" t="s">
        <v>2461</v>
      </c>
      <c r="C670" s="2" t="s">
        <v>18</v>
      </c>
      <c r="D670" s="5">
        <v>41.138378299999999</v>
      </c>
      <c r="E670" s="5">
        <v>35.466326700000003</v>
      </c>
      <c r="F670" s="2" t="s">
        <v>2462</v>
      </c>
      <c r="G670" s="2" t="s">
        <v>221</v>
      </c>
      <c r="H670" s="2" t="s">
        <v>222</v>
      </c>
      <c r="I670" s="2" t="s">
        <v>2393</v>
      </c>
      <c r="J670" s="2" t="s">
        <v>2463</v>
      </c>
      <c r="K670" s="2" t="s">
        <v>22</v>
      </c>
      <c r="L670" s="2" t="s">
        <v>193</v>
      </c>
      <c r="M670" s="3">
        <v>1</v>
      </c>
      <c r="N670" s="3">
        <v>1</v>
      </c>
      <c r="O670" s="9" t="s">
        <v>24</v>
      </c>
      <c r="P670" s="3">
        <v>0</v>
      </c>
    </row>
    <row r="671" spans="1:16" x14ac:dyDescent="0.3">
      <c r="A671" s="2" t="s">
        <v>2464</v>
      </c>
      <c r="B671" s="2" t="s">
        <v>2465</v>
      </c>
      <c r="C671" s="2" t="s">
        <v>18</v>
      </c>
      <c r="D671" s="5">
        <v>41.360185000000001</v>
      </c>
      <c r="E671" s="5">
        <v>36.234321000000001</v>
      </c>
      <c r="F671" s="2" t="s">
        <v>2466</v>
      </c>
      <c r="G671" s="2" t="s">
        <v>28</v>
      </c>
      <c r="H671" s="2" t="s">
        <v>29</v>
      </c>
      <c r="I671" s="2" t="s">
        <v>30</v>
      </c>
      <c r="J671" s="2" t="s">
        <v>2467</v>
      </c>
      <c r="K671" s="2" t="s">
        <v>22</v>
      </c>
      <c r="L671" s="2" t="s">
        <v>23</v>
      </c>
      <c r="M671" s="3">
        <v>0</v>
      </c>
      <c r="N671" s="3">
        <v>0</v>
      </c>
      <c r="O671" s="9" t="s">
        <v>54</v>
      </c>
      <c r="P671" s="3">
        <v>0</v>
      </c>
    </row>
    <row r="672" spans="1:16" x14ac:dyDescent="0.3">
      <c r="A672" s="2" t="s">
        <v>2468</v>
      </c>
      <c r="B672" s="2" t="s">
        <v>2469</v>
      </c>
      <c r="C672" s="2" t="s">
        <v>18</v>
      </c>
      <c r="D672" s="5">
        <v>41.327385</v>
      </c>
      <c r="E672" s="5">
        <v>36.259672000000002</v>
      </c>
      <c r="F672" s="2" t="s">
        <v>2466</v>
      </c>
      <c r="G672" s="2" t="s">
        <v>28</v>
      </c>
      <c r="H672" s="2" t="s">
        <v>29</v>
      </c>
      <c r="I672" s="2" t="s">
        <v>30</v>
      </c>
      <c r="J672" s="2" t="s">
        <v>2470</v>
      </c>
      <c r="K672" s="2" t="s">
        <v>22</v>
      </c>
      <c r="L672" s="2" t="s">
        <v>23</v>
      </c>
      <c r="M672" s="3">
        <v>0</v>
      </c>
      <c r="N672" s="3">
        <v>0</v>
      </c>
      <c r="O672" s="9" t="s">
        <v>54</v>
      </c>
      <c r="P672" s="3">
        <v>0</v>
      </c>
    </row>
    <row r="673" spans="1:16" x14ac:dyDescent="0.3">
      <c r="A673" s="2" t="s">
        <v>2471</v>
      </c>
      <c r="B673" s="2" t="s">
        <v>2472</v>
      </c>
      <c r="C673" s="2" t="s">
        <v>18</v>
      </c>
      <c r="D673" s="5">
        <v>41.242041</v>
      </c>
      <c r="E673" s="5">
        <v>36.404921999999999</v>
      </c>
      <c r="F673" s="2" t="s">
        <v>2473</v>
      </c>
      <c r="G673" s="2" t="s">
        <v>28</v>
      </c>
      <c r="H673" s="2" t="s">
        <v>682</v>
      </c>
      <c r="I673" s="2" t="s">
        <v>30</v>
      </c>
      <c r="J673" s="2" t="s">
        <v>2474</v>
      </c>
      <c r="K673" s="2" t="s">
        <v>22</v>
      </c>
      <c r="L673" s="2" t="s">
        <v>39</v>
      </c>
      <c r="M673" s="3">
        <v>0</v>
      </c>
      <c r="N673" s="3">
        <v>0</v>
      </c>
      <c r="O673" s="9" t="s">
        <v>54</v>
      </c>
      <c r="P673" s="3">
        <v>0</v>
      </c>
    </row>
    <row r="674" spans="1:16" x14ac:dyDescent="0.3">
      <c r="A674" s="2" t="s">
        <v>2475</v>
      </c>
      <c r="B674" s="2" t="s">
        <v>2476</v>
      </c>
      <c r="C674" s="2" t="s">
        <v>18</v>
      </c>
      <c r="D674" s="5">
        <v>41.299726999999997</v>
      </c>
      <c r="E674" s="5">
        <v>36.323939000000003</v>
      </c>
      <c r="F674" s="2" t="s">
        <v>54</v>
      </c>
      <c r="G674" s="2" t="s">
        <v>20</v>
      </c>
      <c r="H674" s="2" t="s">
        <v>20</v>
      </c>
      <c r="I674" s="2" t="s">
        <v>1369</v>
      </c>
      <c r="J674" s="2" t="s">
        <v>1224</v>
      </c>
      <c r="K674" s="2" t="s">
        <v>22</v>
      </c>
      <c r="L674" s="2" t="s">
        <v>32</v>
      </c>
      <c r="M674" s="3">
        <v>1</v>
      </c>
      <c r="N674" s="3">
        <v>1</v>
      </c>
      <c r="O674" s="9" t="s">
        <v>24</v>
      </c>
      <c r="P674" s="3">
        <v>0</v>
      </c>
    </row>
    <row r="675" spans="1:16" x14ac:dyDescent="0.3">
      <c r="A675" s="2" t="s">
        <v>2477</v>
      </c>
      <c r="B675" s="2" t="s">
        <v>2478</v>
      </c>
      <c r="C675" s="2" t="s">
        <v>18</v>
      </c>
      <c r="D675" s="5">
        <v>41.141297999999999</v>
      </c>
      <c r="E675" s="5">
        <v>37.236553999999998</v>
      </c>
      <c r="F675" s="2" t="s">
        <v>2479</v>
      </c>
      <c r="G675" s="2" t="s">
        <v>28</v>
      </c>
      <c r="H675" s="2" t="s">
        <v>29</v>
      </c>
      <c r="I675" s="2" t="s">
        <v>30</v>
      </c>
      <c r="J675" s="2" t="s">
        <v>2480</v>
      </c>
      <c r="K675" s="2" t="s">
        <v>63</v>
      </c>
      <c r="L675" s="2" t="s">
        <v>89</v>
      </c>
      <c r="M675" s="3">
        <v>1</v>
      </c>
      <c r="N675" s="3">
        <v>1</v>
      </c>
      <c r="O675" s="9" t="s">
        <v>24</v>
      </c>
      <c r="P675" s="3">
        <v>-1453.9</v>
      </c>
    </row>
    <row r="676" spans="1:16" x14ac:dyDescent="0.3">
      <c r="A676" s="2" t="s">
        <v>2481</v>
      </c>
      <c r="B676" s="2" t="s">
        <v>2482</v>
      </c>
      <c r="C676" s="2" t="s">
        <v>18</v>
      </c>
      <c r="D676" s="5">
        <v>40.988181699999998</v>
      </c>
      <c r="E676" s="5">
        <v>36.632793800000002</v>
      </c>
      <c r="F676" s="2" t="s">
        <v>1768</v>
      </c>
      <c r="G676" s="2" t="s">
        <v>221</v>
      </c>
      <c r="H676" s="2" t="s">
        <v>222</v>
      </c>
      <c r="I676" s="2" t="s">
        <v>222</v>
      </c>
      <c r="J676" s="2" t="s">
        <v>2483</v>
      </c>
      <c r="K676" s="2" t="s">
        <v>22</v>
      </c>
      <c r="L676" s="2" t="s">
        <v>145</v>
      </c>
      <c r="M676" s="3">
        <v>0</v>
      </c>
      <c r="N676" s="3">
        <v>1</v>
      </c>
      <c r="O676" s="9" t="s">
        <v>54</v>
      </c>
      <c r="P676" s="3">
        <v>1705.63</v>
      </c>
    </row>
    <row r="677" spans="1:16" x14ac:dyDescent="0.3">
      <c r="A677" s="2" t="s">
        <v>2484</v>
      </c>
      <c r="B677" s="2" t="s">
        <v>2485</v>
      </c>
      <c r="C677" s="2" t="s">
        <v>18</v>
      </c>
      <c r="D677" s="5">
        <v>41.120736999999998</v>
      </c>
      <c r="E677" s="5">
        <v>37.297623000000002</v>
      </c>
      <c r="F677" s="2" t="s">
        <v>2486</v>
      </c>
      <c r="G677" s="2" t="s">
        <v>28</v>
      </c>
      <c r="H677" s="2" t="s">
        <v>29</v>
      </c>
      <c r="I677" s="2" t="s">
        <v>30</v>
      </c>
      <c r="J677" s="2" t="s">
        <v>2487</v>
      </c>
      <c r="K677" s="2" t="s">
        <v>63</v>
      </c>
      <c r="L677" s="2" t="s">
        <v>89</v>
      </c>
      <c r="M677" s="3">
        <v>0</v>
      </c>
      <c r="N677" s="3">
        <v>0</v>
      </c>
      <c r="O677" s="9" t="s">
        <v>24</v>
      </c>
      <c r="P677" s="3">
        <v>-0.39</v>
      </c>
    </row>
    <row r="678" spans="1:16" x14ac:dyDescent="0.3">
      <c r="A678" s="2" t="s">
        <v>2488</v>
      </c>
      <c r="B678" s="2" t="s">
        <v>2489</v>
      </c>
      <c r="C678" s="2" t="s">
        <v>18</v>
      </c>
      <c r="D678" s="5">
        <v>40.949710000000003</v>
      </c>
      <c r="E678" s="5">
        <v>37.208049000000003</v>
      </c>
      <c r="F678" s="2" t="s">
        <v>2490</v>
      </c>
      <c r="G678" s="2" t="s">
        <v>28</v>
      </c>
      <c r="H678" s="2" t="s">
        <v>29</v>
      </c>
      <c r="I678" s="2" t="s">
        <v>30</v>
      </c>
      <c r="J678" s="2" t="s">
        <v>2491</v>
      </c>
      <c r="K678" s="2" t="s">
        <v>63</v>
      </c>
      <c r="L678" s="2" t="s">
        <v>89</v>
      </c>
      <c r="M678" s="3">
        <v>1</v>
      </c>
      <c r="N678" s="3">
        <v>1</v>
      </c>
      <c r="O678" s="9" t="s">
        <v>24</v>
      </c>
      <c r="P678" s="3">
        <v>0</v>
      </c>
    </row>
    <row r="679" spans="1:16" x14ac:dyDescent="0.3">
      <c r="A679" s="2" t="s">
        <v>2492</v>
      </c>
      <c r="B679" s="2" t="s">
        <v>2493</v>
      </c>
      <c r="C679" s="2" t="s">
        <v>18</v>
      </c>
      <c r="D679" s="5">
        <v>41.305225</v>
      </c>
      <c r="E679" s="5">
        <v>36.322699999999998</v>
      </c>
      <c r="F679" s="2" t="s">
        <v>2494</v>
      </c>
      <c r="G679" s="2" t="s">
        <v>28</v>
      </c>
      <c r="H679" s="2" t="s">
        <v>29</v>
      </c>
      <c r="I679" s="2" t="s">
        <v>30</v>
      </c>
      <c r="J679" s="2" t="s">
        <v>2495</v>
      </c>
      <c r="K679" s="2" t="s">
        <v>22</v>
      </c>
      <c r="L679" s="2" t="s">
        <v>32</v>
      </c>
      <c r="M679" s="3">
        <v>1</v>
      </c>
      <c r="N679" s="3">
        <v>1</v>
      </c>
      <c r="O679" s="9" t="s">
        <v>24</v>
      </c>
      <c r="P679" s="3">
        <v>0.89</v>
      </c>
    </row>
    <row r="680" spans="1:16" x14ac:dyDescent="0.3">
      <c r="A680" s="2" t="s">
        <v>2496</v>
      </c>
      <c r="B680" s="2" t="s">
        <v>2497</v>
      </c>
      <c r="C680" s="2" t="s">
        <v>18</v>
      </c>
      <c r="D680" s="5">
        <v>41.067385000000002</v>
      </c>
      <c r="E680" s="5">
        <v>36.010506999999997</v>
      </c>
      <c r="F680" s="2" t="s">
        <v>2498</v>
      </c>
      <c r="G680" s="2" t="s">
        <v>28</v>
      </c>
      <c r="H680" s="2" t="s">
        <v>29</v>
      </c>
      <c r="I680" s="2" t="s">
        <v>30</v>
      </c>
      <c r="J680" s="2" t="s">
        <v>2499</v>
      </c>
      <c r="K680" s="2" t="s">
        <v>22</v>
      </c>
      <c r="L680" s="2" t="s">
        <v>224</v>
      </c>
      <c r="M680" s="3">
        <v>0</v>
      </c>
      <c r="N680" s="3">
        <v>1</v>
      </c>
      <c r="O680" s="9" t="s">
        <v>24</v>
      </c>
      <c r="P680" s="3">
        <v>0</v>
      </c>
    </row>
    <row r="681" spans="1:16" x14ac:dyDescent="0.3">
      <c r="A681" s="2" t="s">
        <v>2500</v>
      </c>
      <c r="B681" s="2" t="s">
        <v>2501</v>
      </c>
      <c r="C681" s="2" t="s">
        <v>18</v>
      </c>
      <c r="D681" s="5">
        <v>41.269939999999998</v>
      </c>
      <c r="E681" s="5">
        <v>36.367424</v>
      </c>
      <c r="F681" s="2" t="s">
        <v>2502</v>
      </c>
      <c r="G681" s="2" t="s">
        <v>28</v>
      </c>
      <c r="H681" s="2" t="s">
        <v>29</v>
      </c>
      <c r="I681" s="2" t="s">
        <v>30</v>
      </c>
      <c r="J681" s="2" t="s">
        <v>2503</v>
      </c>
      <c r="K681" s="2" t="s">
        <v>22</v>
      </c>
      <c r="L681" s="2" t="s">
        <v>99</v>
      </c>
      <c r="M681" s="3">
        <v>0</v>
      </c>
      <c r="N681" s="3">
        <v>0</v>
      </c>
      <c r="O681" s="9" t="s">
        <v>54</v>
      </c>
      <c r="P681" s="3">
        <v>0</v>
      </c>
    </row>
    <row r="682" spans="1:16" x14ac:dyDescent="0.3">
      <c r="A682" s="2" t="s">
        <v>2504</v>
      </c>
      <c r="B682" s="2" t="s">
        <v>2505</v>
      </c>
      <c r="C682" s="2" t="s">
        <v>18</v>
      </c>
      <c r="D682" s="5">
        <v>41.806815</v>
      </c>
      <c r="E682" s="5">
        <v>35.182552999999999</v>
      </c>
      <c r="F682" s="2" t="s">
        <v>2506</v>
      </c>
      <c r="G682" s="2" t="s">
        <v>28</v>
      </c>
      <c r="H682" s="2" t="s">
        <v>29</v>
      </c>
      <c r="I682" s="2" t="s">
        <v>30</v>
      </c>
      <c r="J682" s="2" t="s">
        <v>2507</v>
      </c>
      <c r="K682" s="2" t="s">
        <v>154</v>
      </c>
      <c r="L682" s="2" t="s">
        <v>302</v>
      </c>
      <c r="M682" s="3">
        <v>0</v>
      </c>
      <c r="N682" s="3">
        <v>0</v>
      </c>
      <c r="O682" s="9" t="s">
        <v>54</v>
      </c>
      <c r="P682" s="3">
        <v>0</v>
      </c>
    </row>
    <row r="683" spans="1:16" x14ac:dyDescent="0.3">
      <c r="A683" s="2" t="s">
        <v>2508</v>
      </c>
      <c r="B683" s="2" t="s">
        <v>2509</v>
      </c>
      <c r="C683" s="2" t="s">
        <v>18</v>
      </c>
      <c r="D683" s="5">
        <v>41.271448999999997</v>
      </c>
      <c r="E683" s="5">
        <v>36.342902000000002</v>
      </c>
      <c r="F683" s="2" t="s">
        <v>2510</v>
      </c>
      <c r="G683" s="2" t="s">
        <v>28</v>
      </c>
      <c r="H683" s="2" t="s">
        <v>29</v>
      </c>
      <c r="I683" s="2" t="s">
        <v>30</v>
      </c>
      <c r="J683" s="2" t="s">
        <v>2511</v>
      </c>
      <c r="K683" s="2" t="s">
        <v>22</v>
      </c>
      <c r="L683" s="2" t="s">
        <v>32</v>
      </c>
      <c r="M683" s="3">
        <v>0</v>
      </c>
      <c r="N683" s="3">
        <v>0</v>
      </c>
      <c r="O683" s="9" t="s">
        <v>24</v>
      </c>
      <c r="P683" s="3">
        <v>-0.28999999999999998</v>
      </c>
    </row>
    <row r="684" spans="1:16" x14ac:dyDescent="0.3">
      <c r="A684" s="2" t="s">
        <v>2512</v>
      </c>
      <c r="B684" s="2" t="s">
        <v>2513</v>
      </c>
      <c r="C684" s="2" t="s">
        <v>18</v>
      </c>
      <c r="D684" s="5">
        <v>40.913861199999999</v>
      </c>
      <c r="E684" s="5">
        <v>35.894540399999997</v>
      </c>
      <c r="F684" s="2" t="s">
        <v>2514</v>
      </c>
      <c r="G684" s="2" t="s">
        <v>28</v>
      </c>
      <c r="H684" s="2" t="s">
        <v>29</v>
      </c>
      <c r="I684" s="2" t="s">
        <v>30</v>
      </c>
      <c r="J684" s="2" t="s">
        <v>2515</v>
      </c>
      <c r="K684" s="2" t="s">
        <v>22</v>
      </c>
      <c r="L684" s="2" t="s">
        <v>76</v>
      </c>
      <c r="M684" s="3">
        <v>1</v>
      </c>
      <c r="N684" s="3">
        <v>1</v>
      </c>
      <c r="O684" s="9" t="s">
        <v>24</v>
      </c>
      <c r="P684" s="3">
        <v>0</v>
      </c>
    </row>
    <row r="685" spans="1:16" x14ac:dyDescent="0.3">
      <c r="A685" s="2" t="s">
        <v>2516</v>
      </c>
      <c r="B685" s="2" t="s">
        <v>2517</v>
      </c>
      <c r="C685" s="2" t="s">
        <v>18</v>
      </c>
      <c r="D685" s="5">
        <v>41.146568000000002</v>
      </c>
      <c r="E685" s="5">
        <v>35.447450000000003</v>
      </c>
      <c r="F685" s="2" t="s">
        <v>2518</v>
      </c>
      <c r="G685" s="2" t="s">
        <v>28</v>
      </c>
      <c r="H685" s="2" t="s">
        <v>29</v>
      </c>
      <c r="I685" s="2" t="s">
        <v>30</v>
      </c>
      <c r="J685" s="2" t="s">
        <v>2519</v>
      </c>
      <c r="K685" s="2" t="s">
        <v>22</v>
      </c>
      <c r="L685" s="2" t="s">
        <v>164</v>
      </c>
      <c r="M685" s="3">
        <v>0</v>
      </c>
      <c r="N685" s="3">
        <v>0</v>
      </c>
      <c r="O685" s="9" t="s">
        <v>24</v>
      </c>
      <c r="P685" s="3">
        <v>0</v>
      </c>
    </row>
    <row r="686" spans="1:16" x14ac:dyDescent="0.3">
      <c r="A686" s="2" t="s">
        <v>2520</v>
      </c>
      <c r="B686" s="2" t="s">
        <v>2521</v>
      </c>
      <c r="C686" s="2" t="s">
        <v>18</v>
      </c>
      <c r="D686" s="5">
        <v>41.221757599999997</v>
      </c>
      <c r="E686" s="5">
        <v>36.443698400000002</v>
      </c>
      <c r="F686" s="2" t="s">
        <v>2522</v>
      </c>
      <c r="G686" s="2" t="s">
        <v>28</v>
      </c>
      <c r="H686" s="2" t="s">
        <v>29</v>
      </c>
      <c r="I686" s="2" t="s">
        <v>30</v>
      </c>
      <c r="J686" s="2" t="s">
        <v>2523</v>
      </c>
      <c r="K686" s="2" t="s">
        <v>22</v>
      </c>
      <c r="L686" s="2" t="s">
        <v>39</v>
      </c>
      <c r="M686" s="3">
        <v>2</v>
      </c>
      <c r="N686" s="3">
        <v>1</v>
      </c>
      <c r="O686" s="9" t="s">
        <v>24</v>
      </c>
      <c r="P686" s="3">
        <v>0</v>
      </c>
    </row>
    <row r="687" spans="1:16" x14ac:dyDescent="0.3">
      <c r="A687" s="2" t="s">
        <v>2524</v>
      </c>
      <c r="B687" s="2" t="s">
        <v>2525</v>
      </c>
      <c r="C687" s="2" t="s">
        <v>18</v>
      </c>
      <c r="D687" s="5">
        <v>41.190835999999997</v>
      </c>
      <c r="E687" s="5">
        <v>36.727142000000001</v>
      </c>
      <c r="F687" s="2" t="s">
        <v>2526</v>
      </c>
      <c r="G687" s="2" t="s">
        <v>221</v>
      </c>
      <c r="H687" s="2" t="s">
        <v>222</v>
      </c>
      <c r="I687" s="2" t="s">
        <v>2393</v>
      </c>
      <c r="J687" s="2" t="s">
        <v>2527</v>
      </c>
      <c r="K687" s="2" t="s">
        <v>22</v>
      </c>
      <c r="L687" s="2" t="s">
        <v>44</v>
      </c>
      <c r="M687" s="3">
        <v>1</v>
      </c>
      <c r="N687" s="3">
        <v>1</v>
      </c>
      <c r="O687" s="9" t="s">
        <v>24</v>
      </c>
      <c r="P687" s="3">
        <v>-4.28</v>
      </c>
    </row>
    <row r="688" spans="1:16" x14ac:dyDescent="0.3">
      <c r="A688" s="2" t="s">
        <v>2528</v>
      </c>
      <c r="B688" s="2" t="s">
        <v>2529</v>
      </c>
      <c r="C688" s="2" t="s">
        <v>18</v>
      </c>
      <c r="D688" s="5">
        <v>41.575034000000002</v>
      </c>
      <c r="E688" s="5">
        <v>35.920932999999998</v>
      </c>
      <c r="F688" s="2" t="s">
        <v>2530</v>
      </c>
      <c r="G688" s="2" t="s">
        <v>28</v>
      </c>
      <c r="H688" s="2" t="s">
        <v>29</v>
      </c>
      <c r="I688" s="2" t="s">
        <v>30</v>
      </c>
      <c r="J688" s="2" t="s">
        <v>2531</v>
      </c>
      <c r="K688" s="2" t="s">
        <v>22</v>
      </c>
      <c r="L688" s="2" t="s">
        <v>53</v>
      </c>
      <c r="M688" s="3">
        <v>0</v>
      </c>
      <c r="N688" s="3">
        <v>0</v>
      </c>
      <c r="O688" s="9" t="s">
        <v>24</v>
      </c>
      <c r="P688" s="3">
        <v>0</v>
      </c>
    </row>
    <row r="689" spans="1:16" x14ac:dyDescent="0.3">
      <c r="A689" s="2" t="s">
        <v>2532</v>
      </c>
      <c r="B689" s="2" t="s">
        <v>2533</v>
      </c>
      <c r="C689" s="2" t="s">
        <v>18</v>
      </c>
      <c r="D689" s="5">
        <v>41.091644000000002</v>
      </c>
      <c r="E689" s="5">
        <v>36.638029099999997</v>
      </c>
      <c r="F689" s="2" t="s">
        <v>2534</v>
      </c>
      <c r="G689" s="2" t="s">
        <v>28</v>
      </c>
      <c r="H689" s="2" t="s">
        <v>29</v>
      </c>
      <c r="I689" s="2" t="s">
        <v>30</v>
      </c>
      <c r="J689" s="2" t="s">
        <v>2535</v>
      </c>
      <c r="K689" s="2" t="s">
        <v>22</v>
      </c>
      <c r="L689" s="2" t="s">
        <v>44</v>
      </c>
      <c r="M689" s="3">
        <v>1</v>
      </c>
      <c r="N689" s="3">
        <v>1</v>
      </c>
      <c r="O689" s="9" t="s">
        <v>24</v>
      </c>
      <c r="P689" s="3">
        <v>-0.71</v>
      </c>
    </row>
    <row r="690" spans="1:16" x14ac:dyDescent="0.3">
      <c r="A690" s="2" t="s">
        <v>2536</v>
      </c>
      <c r="B690" s="2" t="s">
        <v>2537</v>
      </c>
      <c r="C690" s="2" t="s">
        <v>18</v>
      </c>
      <c r="D690" s="5">
        <v>41.355535000000003</v>
      </c>
      <c r="E690" s="5">
        <v>36.235371999999998</v>
      </c>
      <c r="F690" s="2" t="s">
        <v>925</v>
      </c>
      <c r="G690" s="2" t="s">
        <v>28</v>
      </c>
      <c r="H690" s="2" t="s">
        <v>29</v>
      </c>
      <c r="I690" s="2" t="s">
        <v>30</v>
      </c>
      <c r="J690" s="2" t="s">
        <v>2538</v>
      </c>
      <c r="K690" s="2" t="s">
        <v>22</v>
      </c>
      <c r="L690" s="2" t="s">
        <v>23</v>
      </c>
      <c r="M690" s="3">
        <v>0</v>
      </c>
      <c r="N690" s="3">
        <v>1</v>
      </c>
      <c r="O690" s="9" t="s">
        <v>24</v>
      </c>
      <c r="P690" s="3">
        <v>0</v>
      </c>
    </row>
    <row r="691" spans="1:16" x14ac:dyDescent="0.3">
      <c r="A691" s="2" t="s">
        <v>2539</v>
      </c>
      <c r="B691" s="2" t="s">
        <v>2540</v>
      </c>
      <c r="C691" s="2" t="s">
        <v>18</v>
      </c>
      <c r="D691" s="5">
        <v>41.073211999999998</v>
      </c>
      <c r="E691" s="5">
        <v>36.032711999999997</v>
      </c>
      <c r="F691" s="2" t="s">
        <v>2541</v>
      </c>
      <c r="G691" s="2" t="s">
        <v>28</v>
      </c>
      <c r="H691" s="2" t="s">
        <v>29</v>
      </c>
      <c r="I691" s="2" t="s">
        <v>30</v>
      </c>
      <c r="J691" s="2" t="s">
        <v>2542</v>
      </c>
      <c r="K691" s="2" t="s">
        <v>22</v>
      </c>
      <c r="L691" s="2" t="s">
        <v>224</v>
      </c>
      <c r="M691" s="3">
        <v>0</v>
      </c>
      <c r="N691" s="3">
        <v>0</v>
      </c>
      <c r="O691" s="9" t="s">
        <v>54</v>
      </c>
      <c r="P691" s="3">
        <v>0</v>
      </c>
    </row>
    <row r="692" spans="1:16" x14ac:dyDescent="0.3">
      <c r="A692" s="2" t="s">
        <v>2543</v>
      </c>
      <c r="B692" s="2" t="s">
        <v>2544</v>
      </c>
      <c r="C692" s="2" t="s">
        <v>18</v>
      </c>
      <c r="D692" s="5">
        <v>41.1030315</v>
      </c>
      <c r="E692" s="5">
        <v>37.385510699999998</v>
      </c>
      <c r="F692" s="2" t="s">
        <v>2545</v>
      </c>
      <c r="G692" s="2" t="s">
        <v>28</v>
      </c>
      <c r="H692" s="2" t="s">
        <v>29</v>
      </c>
      <c r="I692" s="2" t="s">
        <v>30</v>
      </c>
      <c r="J692" s="2" t="s">
        <v>2546</v>
      </c>
      <c r="K692" s="2" t="s">
        <v>63</v>
      </c>
      <c r="L692" s="2" t="s">
        <v>89</v>
      </c>
      <c r="M692" s="3">
        <v>1</v>
      </c>
      <c r="N692" s="3">
        <v>1</v>
      </c>
      <c r="O692" s="9" t="s">
        <v>24</v>
      </c>
      <c r="P692" s="3">
        <v>-1468.4</v>
      </c>
    </row>
    <row r="693" spans="1:16" x14ac:dyDescent="0.3">
      <c r="A693" s="2" t="s">
        <v>2547</v>
      </c>
      <c r="B693" s="2" t="s">
        <v>2548</v>
      </c>
      <c r="C693" s="2" t="s">
        <v>18</v>
      </c>
      <c r="D693" s="5">
        <v>41.200826399999997</v>
      </c>
      <c r="E693" s="5">
        <v>36.964008900000003</v>
      </c>
      <c r="F693" s="2" t="s">
        <v>2549</v>
      </c>
      <c r="G693" s="2" t="s">
        <v>28</v>
      </c>
      <c r="H693" s="2" t="s">
        <v>29</v>
      </c>
      <c r="I693" s="2" t="s">
        <v>30</v>
      </c>
      <c r="J693" s="2" t="s">
        <v>2550</v>
      </c>
      <c r="K693" s="2" t="s">
        <v>22</v>
      </c>
      <c r="L693" s="2" t="s">
        <v>328</v>
      </c>
      <c r="M693" s="3">
        <v>0</v>
      </c>
      <c r="N693" s="3">
        <v>1</v>
      </c>
      <c r="O693" s="9" t="s">
        <v>24</v>
      </c>
      <c r="P693" s="3">
        <v>0</v>
      </c>
    </row>
    <row r="694" spans="1:16" x14ac:dyDescent="0.3">
      <c r="A694" s="2" t="s">
        <v>2551</v>
      </c>
      <c r="B694" s="2" t="s">
        <v>2552</v>
      </c>
      <c r="C694" s="2" t="s">
        <v>18</v>
      </c>
      <c r="D694" s="5">
        <v>41.263210999999998</v>
      </c>
      <c r="E694" s="5">
        <v>36.372306000000002</v>
      </c>
      <c r="F694" s="2" t="s">
        <v>2553</v>
      </c>
      <c r="G694" s="2" t="s">
        <v>28</v>
      </c>
      <c r="H694" s="2" t="s">
        <v>29</v>
      </c>
      <c r="I694" s="2" t="s">
        <v>30</v>
      </c>
      <c r="J694" s="2" t="s">
        <v>2554</v>
      </c>
      <c r="K694" s="2" t="s">
        <v>22</v>
      </c>
      <c r="L694" s="2" t="s">
        <v>99</v>
      </c>
      <c r="M694" s="3">
        <v>1</v>
      </c>
      <c r="N694" s="3">
        <v>1</v>
      </c>
      <c r="O694" s="9" t="s">
        <v>24</v>
      </c>
      <c r="P694" s="3">
        <v>0</v>
      </c>
    </row>
    <row r="695" spans="1:16" x14ac:dyDescent="0.3">
      <c r="A695" s="2" t="s">
        <v>2555</v>
      </c>
      <c r="B695" s="2" t="s">
        <v>2556</v>
      </c>
      <c r="C695" s="2" t="s">
        <v>18</v>
      </c>
      <c r="D695" s="5">
        <v>41.083953999999999</v>
      </c>
      <c r="E695" s="5">
        <v>36.823450999999999</v>
      </c>
      <c r="F695" s="2" t="s">
        <v>2557</v>
      </c>
      <c r="G695" s="2" t="s">
        <v>28</v>
      </c>
      <c r="H695" s="2" t="s">
        <v>29</v>
      </c>
      <c r="I695" s="2" t="s">
        <v>30</v>
      </c>
      <c r="J695" s="2" t="s">
        <v>2558</v>
      </c>
      <c r="K695" s="2" t="s">
        <v>22</v>
      </c>
      <c r="L695" s="2" t="s">
        <v>476</v>
      </c>
      <c r="M695" s="3">
        <v>0</v>
      </c>
      <c r="N695" s="3">
        <v>0</v>
      </c>
      <c r="O695" s="9" t="s">
        <v>54</v>
      </c>
      <c r="P695" s="3">
        <v>0</v>
      </c>
    </row>
    <row r="696" spans="1:16" x14ac:dyDescent="0.3">
      <c r="A696" s="2" t="s">
        <v>2559</v>
      </c>
      <c r="B696" s="2" t="s">
        <v>2560</v>
      </c>
      <c r="C696" s="2" t="s">
        <v>18</v>
      </c>
      <c r="D696" s="5">
        <v>41.129009000000003</v>
      </c>
      <c r="E696" s="5">
        <v>37.10528</v>
      </c>
      <c r="F696" s="2" t="s">
        <v>54</v>
      </c>
      <c r="G696" s="2" t="s">
        <v>20</v>
      </c>
      <c r="H696" s="2" t="s">
        <v>20</v>
      </c>
      <c r="I696" s="2" t="s">
        <v>1369</v>
      </c>
      <c r="J696" s="2" t="s">
        <v>2561</v>
      </c>
      <c r="K696" s="2" t="s">
        <v>22</v>
      </c>
      <c r="L696" s="2" t="s">
        <v>328</v>
      </c>
      <c r="M696" s="3">
        <v>0</v>
      </c>
      <c r="N696" s="3">
        <v>0</v>
      </c>
      <c r="O696" s="9" t="s">
        <v>24</v>
      </c>
      <c r="P696" s="3">
        <v>0</v>
      </c>
    </row>
    <row r="697" spans="1:16" x14ac:dyDescent="0.3">
      <c r="A697" s="2" t="s">
        <v>2562</v>
      </c>
      <c r="B697" s="2" t="s">
        <v>2563</v>
      </c>
      <c r="C697" s="2" t="s">
        <v>18</v>
      </c>
      <c r="D697" s="5">
        <v>41.324206699999998</v>
      </c>
      <c r="E697" s="5">
        <v>36.268174999999999</v>
      </c>
      <c r="F697" s="2" t="s">
        <v>2564</v>
      </c>
      <c r="G697" s="2" t="s">
        <v>28</v>
      </c>
      <c r="H697" s="2" t="s">
        <v>29</v>
      </c>
      <c r="I697" s="2" t="s">
        <v>30</v>
      </c>
      <c r="J697" s="2" t="s">
        <v>2565</v>
      </c>
      <c r="K697" s="2" t="s">
        <v>22</v>
      </c>
      <c r="L697" s="2" t="s">
        <v>32</v>
      </c>
      <c r="M697" s="3">
        <v>0</v>
      </c>
      <c r="N697" s="3">
        <v>1</v>
      </c>
      <c r="O697" s="9" t="s">
        <v>24</v>
      </c>
      <c r="P697" s="3">
        <v>-0.41</v>
      </c>
    </row>
    <row r="698" spans="1:16" x14ac:dyDescent="0.3">
      <c r="A698" s="2" t="s">
        <v>2566</v>
      </c>
      <c r="B698" s="2" t="s">
        <v>2567</v>
      </c>
      <c r="C698" s="2" t="s">
        <v>18</v>
      </c>
      <c r="D698" s="5">
        <v>41.287036000000001</v>
      </c>
      <c r="E698" s="5">
        <v>36.335653999999998</v>
      </c>
      <c r="F698" s="2" t="s">
        <v>2568</v>
      </c>
      <c r="G698" s="2" t="s">
        <v>28</v>
      </c>
      <c r="H698" s="2" t="s">
        <v>29</v>
      </c>
      <c r="I698" s="2" t="s">
        <v>30</v>
      </c>
      <c r="J698" s="2" t="s">
        <v>2569</v>
      </c>
      <c r="K698" s="2" t="s">
        <v>22</v>
      </c>
      <c r="L698" s="2" t="s">
        <v>32</v>
      </c>
      <c r="M698" s="3">
        <v>0</v>
      </c>
      <c r="N698" s="3">
        <v>0</v>
      </c>
      <c r="O698" s="9" t="s">
        <v>54</v>
      </c>
      <c r="P698" s="3">
        <v>-3.34</v>
      </c>
    </row>
    <row r="699" spans="1:16" x14ac:dyDescent="0.3">
      <c r="A699" s="2" t="s">
        <v>2570</v>
      </c>
      <c r="B699" s="2" t="s">
        <v>2571</v>
      </c>
      <c r="C699" s="2" t="s">
        <v>18</v>
      </c>
      <c r="D699" s="5">
        <v>41.276102999999999</v>
      </c>
      <c r="E699" s="5">
        <v>36.340254999999999</v>
      </c>
      <c r="F699" s="2" t="s">
        <v>2572</v>
      </c>
      <c r="G699" s="2" t="s">
        <v>28</v>
      </c>
      <c r="H699" s="2" t="s">
        <v>29</v>
      </c>
      <c r="I699" s="2" t="s">
        <v>30</v>
      </c>
      <c r="J699" s="2" t="s">
        <v>2573</v>
      </c>
      <c r="K699" s="2" t="s">
        <v>22</v>
      </c>
      <c r="L699" s="2" t="s">
        <v>32</v>
      </c>
      <c r="M699" s="3">
        <v>0</v>
      </c>
      <c r="N699" s="3">
        <v>0</v>
      </c>
      <c r="O699" s="9" t="s">
        <v>54</v>
      </c>
      <c r="P699" s="3">
        <v>0</v>
      </c>
    </row>
    <row r="700" spans="1:16" x14ac:dyDescent="0.3">
      <c r="A700" s="2" t="s">
        <v>2574</v>
      </c>
      <c r="B700" s="2" t="s">
        <v>2575</v>
      </c>
      <c r="C700" s="2" t="s">
        <v>18</v>
      </c>
      <c r="D700" s="5">
        <v>41.126018000000002</v>
      </c>
      <c r="E700" s="5">
        <v>37.287892999999997</v>
      </c>
      <c r="F700" s="2" t="s">
        <v>2576</v>
      </c>
      <c r="G700" s="2" t="s">
        <v>28</v>
      </c>
      <c r="H700" s="2" t="s">
        <v>29</v>
      </c>
      <c r="I700" s="2" t="s">
        <v>30</v>
      </c>
      <c r="J700" s="2" t="s">
        <v>2577</v>
      </c>
      <c r="K700" s="2" t="s">
        <v>63</v>
      </c>
      <c r="L700" s="2" t="s">
        <v>89</v>
      </c>
      <c r="M700" s="3">
        <v>0</v>
      </c>
      <c r="N700" s="3">
        <v>0</v>
      </c>
      <c r="O700" s="9" t="s">
        <v>54</v>
      </c>
      <c r="P700" s="3">
        <v>0</v>
      </c>
    </row>
    <row r="701" spans="1:16" x14ac:dyDescent="0.3">
      <c r="A701" s="2" t="s">
        <v>2578</v>
      </c>
      <c r="B701" s="2" t="s">
        <v>2579</v>
      </c>
      <c r="C701" s="2" t="s">
        <v>18</v>
      </c>
      <c r="D701" s="5">
        <v>41.988701800000001</v>
      </c>
      <c r="E701" s="5">
        <v>35.093064499999997</v>
      </c>
      <c r="F701" s="2" t="s">
        <v>2580</v>
      </c>
      <c r="G701" s="2" t="s">
        <v>28</v>
      </c>
      <c r="H701" s="2" t="s">
        <v>29</v>
      </c>
      <c r="I701" s="2" t="s">
        <v>30</v>
      </c>
      <c r="J701" s="2" t="s">
        <v>2581</v>
      </c>
      <c r="K701" s="2" t="s">
        <v>154</v>
      </c>
      <c r="L701" s="2" t="s">
        <v>155</v>
      </c>
      <c r="M701" s="3">
        <v>2</v>
      </c>
      <c r="N701" s="3">
        <v>1</v>
      </c>
      <c r="O701" s="9" t="s">
        <v>24</v>
      </c>
      <c r="P701" s="3">
        <v>-1665.25</v>
      </c>
    </row>
    <row r="702" spans="1:16" x14ac:dyDescent="0.3">
      <c r="A702" s="2" t="s">
        <v>2582</v>
      </c>
      <c r="B702" s="2" t="s">
        <v>2583</v>
      </c>
      <c r="C702" s="2" t="s">
        <v>18</v>
      </c>
      <c r="D702" s="5">
        <v>41.268487</v>
      </c>
      <c r="E702" s="5">
        <v>36.363211999999997</v>
      </c>
      <c r="F702" s="2" t="s">
        <v>2584</v>
      </c>
      <c r="G702" s="2" t="s">
        <v>28</v>
      </c>
      <c r="H702" s="2" t="s">
        <v>29</v>
      </c>
      <c r="I702" s="2" t="s">
        <v>30</v>
      </c>
      <c r="J702" s="2" t="s">
        <v>2585</v>
      </c>
      <c r="K702" s="2" t="s">
        <v>22</v>
      </c>
      <c r="L702" s="2" t="s">
        <v>99</v>
      </c>
      <c r="M702" s="3">
        <v>0</v>
      </c>
      <c r="N702" s="3">
        <v>0</v>
      </c>
      <c r="O702" s="9" t="s">
        <v>54</v>
      </c>
      <c r="P702" s="3">
        <v>0</v>
      </c>
    </row>
    <row r="703" spans="1:16" x14ac:dyDescent="0.3">
      <c r="A703" s="2" t="s">
        <v>2586</v>
      </c>
      <c r="B703" s="2" t="s">
        <v>2587</v>
      </c>
      <c r="C703" s="2" t="s">
        <v>18</v>
      </c>
      <c r="D703" s="5">
        <v>41.362865499999998</v>
      </c>
      <c r="E703" s="5">
        <v>36.227062500000002</v>
      </c>
      <c r="F703" s="2" t="s">
        <v>2588</v>
      </c>
      <c r="G703" s="2" t="s">
        <v>28</v>
      </c>
      <c r="H703" s="2" t="s">
        <v>29</v>
      </c>
      <c r="I703" s="2" t="s">
        <v>30</v>
      </c>
      <c r="J703" s="2" t="s">
        <v>2589</v>
      </c>
      <c r="K703" s="2" t="s">
        <v>22</v>
      </c>
      <c r="L703" s="2" t="s">
        <v>23</v>
      </c>
      <c r="M703" s="3">
        <v>1</v>
      </c>
      <c r="N703" s="3">
        <v>1</v>
      </c>
      <c r="O703" s="9" t="s">
        <v>24</v>
      </c>
      <c r="P703" s="3">
        <v>0</v>
      </c>
    </row>
    <row r="704" spans="1:16" x14ac:dyDescent="0.3">
      <c r="A704" s="2" t="s">
        <v>2590</v>
      </c>
      <c r="B704" s="2" t="s">
        <v>2591</v>
      </c>
      <c r="C704" s="2" t="s">
        <v>18</v>
      </c>
      <c r="D704" s="5">
        <v>41.560707000000001</v>
      </c>
      <c r="E704" s="5">
        <v>35.909610000000001</v>
      </c>
      <c r="F704" s="2" t="s">
        <v>2592</v>
      </c>
      <c r="G704" s="2" t="s">
        <v>28</v>
      </c>
      <c r="H704" s="2" t="s">
        <v>29</v>
      </c>
      <c r="I704" s="2" t="s">
        <v>30</v>
      </c>
      <c r="J704" s="2" t="s">
        <v>2593</v>
      </c>
      <c r="K704" s="2" t="s">
        <v>22</v>
      </c>
      <c r="L704" s="2" t="s">
        <v>53</v>
      </c>
      <c r="M704" s="3">
        <v>1</v>
      </c>
      <c r="N704" s="3">
        <v>1</v>
      </c>
      <c r="O704" s="9" t="s">
        <v>24</v>
      </c>
      <c r="P704" s="3">
        <v>-2.31</v>
      </c>
    </row>
    <row r="705" spans="1:16" x14ac:dyDescent="0.3">
      <c r="A705" s="2" t="s">
        <v>2594</v>
      </c>
      <c r="B705" s="2" t="s">
        <v>2595</v>
      </c>
      <c r="C705" s="2" t="s">
        <v>18</v>
      </c>
      <c r="D705" s="5">
        <v>41.562916999999999</v>
      </c>
      <c r="E705" s="5">
        <v>35.903460000000003</v>
      </c>
      <c r="F705" s="2" t="s">
        <v>2596</v>
      </c>
      <c r="G705" s="2" t="s">
        <v>28</v>
      </c>
      <c r="H705" s="2" t="s">
        <v>29</v>
      </c>
      <c r="I705" s="2" t="s">
        <v>30</v>
      </c>
      <c r="J705" s="2" t="s">
        <v>2597</v>
      </c>
      <c r="K705" s="2" t="s">
        <v>22</v>
      </c>
      <c r="L705" s="2" t="s">
        <v>53</v>
      </c>
      <c r="M705" s="3">
        <v>0</v>
      </c>
      <c r="N705" s="3">
        <v>0</v>
      </c>
      <c r="O705" s="9" t="s">
        <v>24</v>
      </c>
      <c r="P705" s="3">
        <v>0</v>
      </c>
    </row>
    <row r="706" spans="1:16" x14ac:dyDescent="0.3">
      <c r="A706" s="2" t="s">
        <v>2598</v>
      </c>
      <c r="B706" s="2" t="s">
        <v>2599</v>
      </c>
      <c r="C706" s="2" t="s">
        <v>18</v>
      </c>
      <c r="D706" s="5">
        <v>40.970948</v>
      </c>
      <c r="E706" s="5">
        <v>35.674563999999997</v>
      </c>
      <c r="F706" s="2" t="s">
        <v>54</v>
      </c>
      <c r="G706" s="2" t="s">
        <v>259</v>
      </c>
      <c r="H706" s="2" t="s">
        <v>260</v>
      </c>
      <c r="I706" s="2" t="s">
        <v>260</v>
      </c>
      <c r="J706" s="2" t="s">
        <v>2600</v>
      </c>
      <c r="K706" s="2" t="s">
        <v>22</v>
      </c>
      <c r="L706" s="2" t="s">
        <v>193</v>
      </c>
      <c r="M706" s="3">
        <v>1</v>
      </c>
      <c r="N706" s="3">
        <v>1</v>
      </c>
      <c r="O706" s="9" t="s">
        <v>24</v>
      </c>
      <c r="P706" s="3">
        <v>0</v>
      </c>
    </row>
    <row r="707" spans="1:16" x14ac:dyDescent="0.3">
      <c r="A707" s="2" t="s">
        <v>2601</v>
      </c>
      <c r="B707" s="2" t="s">
        <v>2602</v>
      </c>
      <c r="C707" s="2" t="s">
        <v>18</v>
      </c>
      <c r="D707" s="5">
        <v>41.306310000000003</v>
      </c>
      <c r="E707" s="5">
        <v>36.277740000000001</v>
      </c>
      <c r="F707" s="2" t="s">
        <v>54</v>
      </c>
      <c r="G707" s="2" t="s">
        <v>259</v>
      </c>
      <c r="H707" s="2" t="s">
        <v>260</v>
      </c>
      <c r="I707" s="2" t="s">
        <v>260</v>
      </c>
      <c r="J707" s="2" t="s">
        <v>2603</v>
      </c>
      <c r="K707" s="2" t="s">
        <v>22</v>
      </c>
      <c r="L707" s="2" t="s">
        <v>23</v>
      </c>
      <c r="M707" s="3">
        <v>1</v>
      </c>
      <c r="N707" s="3">
        <v>1</v>
      </c>
      <c r="O707" s="9" t="s">
        <v>24</v>
      </c>
      <c r="P707" s="3">
        <v>0</v>
      </c>
    </row>
    <row r="708" spans="1:16" x14ac:dyDescent="0.3">
      <c r="A708" s="2" t="s">
        <v>2604</v>
      </c>
      <c r="B708" s="2" t="s">
        <v>2605</v>
      </c>
      <c r="C708" s="2" t="s">
        <v>18</v>
      </c>
      <c r="D708" s="5">
        <v>41.633155000000002</v>
      </c>
      <c r="E708" s="5">
        <v>35.609470000000002</v>
      </c>
      <c r="F708" s="2" t="s">
        <v>2606</v>
      </c>
      <c r="G708" s="2" t="s">
        <v>28</v>
      </c>
      <c r="H708" s="2" t="s">
        <v>29</v>
      </c>
      <c r="I708" s="2" t="s">
        <v>30</v>
      </c>
      <c r="J708" s="2" t="s">
        <v>2607</v>
      </c>
      <c r="K708" s="2" t="s">
        <v>22</v>
      </c>
      <c r="L708" s="2" t="s">
        <v>265</v>
      </c>
      <c r="M708" s="3">
        <v>1</v>
      </c>
      <c r="N708" s="3">
        <v>1</v>
      </c>
      <c r="O708" s="9" t="s">
        <v>54</v>
      </c>
      <c r="P708" s="3">
        <v>0</v>
      </c>
    </row>
    <row r="709" spans="1:16" x14ac:dyDescent="0.3">
      <c r="A709" s="2" t="s">
        <v>2608</v>
      </c>
      <c r="B709" s="2" t="s">
        <v>2609</v>
      </c>
      <c r="C709" s="2" t="s">
        <v>18</v>
      </c>
      <c r="D709" s="5">
        <v>41.091050000000003</v>
      </c>
      <c r="E709" s="5">
        <v>36.838129000000002</v>
      </c>
      <c r="F709" s="2" t="s">
        <v>2610</v>
      </c>
      <c r="G709" s="2" t="s">
        <v>221</v>
      </c>
      <c r="H709" s="2" t="s">
        <v>222</v>
      </c>
      <c r="I709" s="2" t="s">
        <v>2393</v>
      </c>
      <c r="J709" s="2" t="s">
        <v>2611</v>
      </c>
      <c r="K709" s="2" t="s">
        <v>22</v>
      </c>
      <c r="L709" s="2" t="s">
        <v>476</v>
      </c>
      <c r="M709" s="3">
        <v>0</v>
      </c>
      <c r="N709" s="3">
        <v>0</v>
      </c>
      <c r="O709" s="9" t="s">
        <v>24</v>
      </c>
      <c r="P709" s="3">
        <v>0</v>
      </c>
    </row>
    <row r="710" spans="1:16" x14ac:dyDescent="0.3">
      <c r="A710" s="2" t="s">
        <v>2612</v>
      </c>
      <c r="B710" s="2" t="s">
        <v>2613</v>
      </c>
      <c r="C710" s="2" t="s">
        <v>18</v>
      </c>
      <c r="D710" s="5">
        <v>41.174804000000002</v>
      </c>
      <c r="E710" s="5">
        <v>36.492021999999999</v>
      </c>
      <c r="F710" s="2" t="s">
        <v>1768</v>
      </c>
      <c r="G710" s="2" t="s">
        <v>221</v>
      </c>
      <c r="H710" s="2" t="s">
        <v>222</v>
      </c>
      <c r="I710" s="2" t="s">
        <v>2393</v>
      </c>
      <c r="J710" s="2" t="s">
        <v>2614</v>
      </c>
      <c r="K710" s="2" t="s">
        <v>22</v>
      </c>
      <c r="L710" s="2" t="s">
        <v>39</v>
      </c>
      <c r="M710" s="3">
        <v>0</v>
      </c>
      <c r="N710" s="3">
        <v>0</v>
      </c>
      <c r="O710" s="9" t="s">
        <v>24</v>
      </c>
      <c r="P710" s="3">
        <v>0</v>
      </c>
    </row>
    <row r="711" spans="1:16" x14ac:dyDescent="0.3">
      <c r="A711" s="2" t="s">
        <v>2615</v>
      </c>
      <c r="B711" s="2" t="s">
        <v>2616</v>
      </c>
      <c r="C711" s="2" t="s">
        <v>18</v>
      </c>
      <c r="D711" s="5">
        <v>41.332165000000003</v>
      </c>
      <c r="E711" s="5">
        <v>36.264017000000003</v>
      </c>
      <c r="F711" s="2" t="s">
        <v>2617</v>
      </c>
      <c r="G711" s="2" t="s">
        <v>221</v>
      </c>
      <c r="H711" s="2" t="s">
        <v>222</v>
      </c>
      <c r="I711" s="2" t="s">
        <v>2393</v>
      </c>
      <c r="J711" s="2" t="s">
        <v>2618</v>
      </c>
      <c r="K711" s="2" t="s">
        <v>22</v>
      </c>
      <c r="L711" s="2" t="s">
        <v>23</v>
      </c>
      <c r="M711" s="3">
        <v>2</v>
      </c>
      <c r="N711" s="3">
        <v>1</v>
      </c>
      <c r="O711" s="9" t="s">
        <v>24</v>
      </c>
      <c r="P711" s="3">
        <v>0</v>
      </c>
    </row>
    <row r="712" spans="1:16" x14ac:dyDescent="0.3">
      <c r="A712" s="2" t="s">
        <v>2619</v>
      </c>
      <c r="B712" s="2" t="s">
        <v>2620</v>
      </c>
      <c r="C712" s="2" t="s">
        <v>18</v>
      </c>
      <c r="D712" s="5">
        <v>41.252177099999997</v>
      </c>
      <c r="E712" s="5">
        <v>36.359542099999999</v>
      </c>
      <c r="F712" s="2" t="s">
        <v>2621</v>
      </c>
      <c r="G712" s="2" t="s">
        <v>28</v>
      </c>
      <c r="H712" s="2" t="s">
        <v>29</v>
      </c>
      <c r="I712" s="2" t="s">
        <v>30</v>
      </c>
      <c r="J712" s="2" t="s">
        <v>2622</v>
      </c>
      <c r="K712" s="2" t="s">
        <v>22</v>
      </c>
      <c r="L712" s="2" t="s">
        <v>99</v>
      </c>
      <c r="M712" s="3">
        <v>1</v>
      </c>
      <c r="N712" s="3">
        <v>1</v>
      </c>
      <c r="O712" s="9" t="s">
        <v>54</v>
      </c>
      <c r="P712" s="3">
        <v>0</v>
      </c>
    </row>
    <row r="713" spans="1:16" x14ac:dyDescent="0.3">
      <c r="A713" s="2" t="s">
        <v>2623</v>
      </c>
      <c r="B713" s="2" t="s">
        <v>2624</v>
      </c>
      <c r="C713" s="2" t="s">
        <v>18</v>
      </c>
      <c r="D713" s="5">
        <v>41.074398799999997</v>
      </c>
      <c r="E713" s="5">
        <v>36.0323882</v>
      </c>
      <c r="F713" s="2" t="s">
        <v>2541</v>
      </c>
      <c r="G713" s="2" t="s">
        <v>221</v>
      </c>
      <c r="H713" s="2" t="s">
        <v>222</v>
      </c>
      <c r="I713" s="2" t="s">
        <v>2393</v>
      </c>
      <c r="J713" s="2" t="s">
        <v>2625</v>
      </c>
      <c r="K713" s="2" t="s">
        <v>22</v>
      </c>
      <c r="L713" s="2" t="s">
        <v>224</v>
      </c>
      <c r="M713" s="3">
        <v>0</v>
      </c>
      <c r="N713" s="3">
        <v>1</v>
      </c>
      <c r="O713" s="9" t="s">
        <v>24</v>
      </c>
      <c r="P713" s="3">
        <v>-2.1</v>
      </c>
    </row>
    <row r="714" spans="1:16" x14ac:dyDescent="0.3">
      <c r="A714" s="2" t="s">
        <v>2626</v>
      </c>
      <c r="B714" s="2" t="s">
        <v>2627</v>
      </c>
      <c r="C714" s="2" t="s">
        <v>18</v>
      </c>
      <c r="D714" s="5">
        <v>41.362437</v>
      </c>
      <c r="E714" s="5">
        <v>36.226430999999998</v>
      </c>
      <c r="F714" s="2" t="s">
        <v>54</v>
      </c>
      <c r="G714" s="2" t="s">
        <v>259</v>
      </c>
      <c r="H714" s="2" t="s">
        <v>260</v>
      </c>
      <c r="I714" s="2" t="s">
        <v>260</v>
      </c>
      <c r="J714" s="2" t="s">
        <v>2628</v>
      </c>
      <c r="K714" s="2" t="s">
        <v>22</v>
      </c>
      <c r="L714" s="2" t="s">
        <v>23</v>
      </c>
      <c r="M714" s="3">
        <v>1</v>
      </c>
      <c r="N714" s="3">
        <v>1</v>
      </c>
      <c r="O714" s="9" t="s">
        <v>24</v>
      </c>
      <c r="P714" s="3">
        <v>0</v>
      </c>
    </row>
    <row r="715" spans="1:16" x14ac:dyDescent="0.3">
      <c r="A715" s="2" t="s">
        <v>2629</v>
      </c>
      <c r="B715" s="2" t="s">
        <v>2630</v>
      </c>
      <c r="C715" s="2" t="s">
        <v>18</v>
      </c>
      <c r="D715" s="5">
        <v>41.321599999999997</v>
      </c>
      <c r="E715" s="5">
        <v>36.313186000000002</v>
      </c>
      <c r="F715" s="2" t="s">
        <v>2631</v>
      </c>
      <c r="G715" s="2" t="s">
        <v>221</v>
      </c>
      <c r="H715" s="2" t="s">
        <v>222</v>
      </c>
      <c r="I715" s="2" t="s">
        <v>2393</v>
      </c>
      <c r="J715" s="2" t="s">
        <v>2632</v>
      </c>
      <c r="K715" s="2" t="s">
        <v>22</v>
      </c>
      <c r="L715" s="2" t="s">
        <v>32</v>
      </c>
      <c r="M715" s="3">
        <v>0</v>
      </c>
      <c r="N715" s="3">
        <v>0</v>
      </c>
      <c r="O715" s="9" t="s">
        <v>24</v>
      </c>
      <c r="P715" s="3">
        <v>0</v>
      </c>
    </row>
    <row r="716" spans="1:16" x14ac:dyDescent="0.3">
      <c r="A716" s="2" t="s">
        <v>2633</v>
      </c>
      <c r="B716" s="2" t="s">
        <v>2634</v>
      </c>
      <c r="C716" s="2" t="s">
        <v>18</v>
      </c>
      <c r="D716" s="5">
        <v>41.078259899999999</v>
      </c>
      <c r="E716" s="5">
        <v>36.551143600000003</v>
      </c>
      <c r="F716" s="2" t="s">
        <v>2635</v>
      </c>
      <c r="G716" s="2" t="s">
        <v>28</v>
      </c>
      <c r="H716" s="2" t="s">
        <v>29</v>
      </c>
      <c r="I716" s="2" t="s">
        <v>30</v>
      </c>
      <c r="J716" s="2" t="s">
        <v>2636</v>
      </c>
      <c r="K716" s="2" t="s">
        <v>22</v>
      </c>
      <c r="L716" s="2" t="s">
        <v>44</v>
      </c>
      <c r="M716" s="3">
        <v>1</v>
      </c>
      <c r="N716" s="3">
        <v>1</v>
      </c>
      <c r="O716" s="9" t="s">
        <v>24</v>
      </c>
      <c r="P716" s="3">
        <v>-1652.44</v>
      </c>
    </row>
    <row r="717" spans="1:16" x14ac:dyDescent="0.3">
      <c r="A717" s="2" t="s">
        <v>2637</v>
      </c>
      <c r="B717" s="2" t="s">
        <v>2638</v>
      </c>
      <c r="C717" s="2" t="s">
        <v>18</v>
      </c>
      <c r="D717" s="5">
        <v>41.233656000000003</v>
      </c>
      <c r="E717" s="5">
        <v>36.411825</v>
      </c>
      <c r="F717" s="2" t="s">
        <v>2639</v>
      </c>
      <c r="G717" s="2" t="s">
        <v>28</v>
      </c>
      <c r="H717" s="2" t="s">
        <v>29</v>
      </c>
      <c r="I717" s="2" t="s">
        <v>30</v>
      </c>
      <c r="J717" s="2" t="s">
        <v>2640</v>
      </c>
      <c r="K717" s="2" t="s">
        <v>22</v>
      </c>
      <c r="L717" s="2" t="s">
        <v>39</v>
      </c>
      <c r="M717" s="3">
        <v>0</v>
      </c>
      <c r="N717" s="3">
        <v>0</v>
      </c>
      <c r="O717" s="9" t="s">
        <v>24</v>
      </c>
      <c r="P717" s="3">
        <v>0</v>
      </c>
    </row>
    <row r="718" spans="1:16" x14ac:dyDescent="0.3">
      <c r="A718" s="2" t="s">
        <v>2641</v>
      </c>
      <c r="B718" s="2" t="s">
        <v>2642</v>
      </c>
      <c r="C718" s="2" t="s">
        <v>18</v>
      </c>
      <c r="D718" s="5">
        <v>41.802078999999999</v>
      </c>
      <c r="E718" s="5">
        <v>35.192036000000002</v>
      </c>
      <c r="F718" s="2" t="s">
        <v>1768</v>
      </c>
      <c r="G718" s="2" t="s">
        <v>28</v>
      </c>
      <c r="H718" s="2" t="s">
        <v>29</v>
      </c>
      <c r="I718" s="2" t="s">
        <v>30</v>
      </c>
      <c r="J718" s="2" t="s">
        <v>2643</v>
      </c>
      <c r="K718" s="2" t="s">
        <v>154</v>
      </c>
      <c r="L718" s="2" t="s">
        <v>302</v>
      </c>
      <c r="M718" s="3">
        <v>0</v>
      </c>
      <c r="N718" s="3">
        <v>0</v>
      </c>
      <c r="O718" s="9" t="s">
        <v>24</v>
      </c>
      <c r="P718" s="3">
        <v>0</v>
      </c>
    </row>
    <row r="719" spans="1:16" x14ac:dyDescent="0.3">
      <c r="A719" s="2" t="s">
        <v>2644</v>
      </c>
      <c r="B719" s="2" t="s">
        <v>2645</v>
      </c>
      <c r="C719" s="2" t="s">
        <v>18</v>
      </c>
      <c r="D719" s="5">
        <v>41.332205000000002</v>
      </c>
      <c r="E719" s="5">
        <v>36.270390999999996</v>
      </c>
      <c r="F719" s="2" t="s">
        <v>1768</v>
      </c>
      <c r="G719" s="2" t="s">
        <v>221</v>
      </c>
      <c r="H719" s="2" t="s">
        <v>222</v>
      </c>
      <c r="I719" s="2" t="s">
        <v>2393</v>
      </c>
      <c r="J719" s="2" t="s">
        <v>2646</v>
      </c>
      <c r="K719" s="2" t="s">
        <v>22</v>
      </c>
      <c r="L719" s="2" t="s">
        <v>23</v>
      </c>
      <c r="M719" s="3">
        <v>0</v>
      </c>
      <c r="N719" s="3">
        <v>0</v>
      </c>
      <c r="O719" s="9" t="s">
        <v>24</v>
      </c>
      <c r="P719" s="3">
        <v>0</v>
      </c>
    </row>
    <row r="720" spans="1:16" x14ac:dyDescent="0.3">
      <c r="A720" s="2" t="s">
        <v>2647</v>
      </c>
      <c r="B720" s="2" t="s">
        <v>2648</v>
      </c>
      <c r="C720" s="2" t="s">
        <v>18</v>
      </c>
      <c r="D720" s="5">
        <v>41.224975999999998</v>
      </c>
      <c r="E720" s="5">
        <v>36.457783999999997</v>
      </c>
      <c r="F720" s="2" t="s">
        <v>2649</v>
      </c>
      <c r="G720" s="2" t="s">
        <v>221</v>
      </c>
      <c r="H720" s="2" t="s">
        <v>1049</v>
      </c>
      <c r="I720" s="2" t="s">
        <v>1049</v>
      </c>
      <c r="J720" s="2" t="s">
        <v>2650</v>
      </c>
      <c r="K720" s="2" t="s">
        <v>22</v>
      </c>
      <c r="L720" s="2" t="s">
        <v>39</v>
      </c>
      <c r="M720" s="3">
        <v>0</v>
      </c>
      <c r="N720" s="3">
        <v>0</v>
      </c>
      <c r="O720" s="9" t="s">
        <v>24</v>
      </c>
      <c r="P720" s="3">
        <v>0</v>
      </c>
    </row>
    <row r="721" spans="1:16" x14ac:dyDescent="0.3">
      <c r="A721" s="2" t="s">
        <v>2651</v>
      </c>
      <c r="B721" s="2" t="s">
        <v>2652</v>
      </c>
      <c r="C721" s="2" t="s">
        <v>18</v>
      </c>
      <c r="D721" s="5">
        <v>41.143661999999999</v>
      </c>
      <c r="E721" s="5">
        <v>37.275387000000002</v>
      </c>
      <c r="F721" s="2" t="s">
        <v>2653</v>
      </c>
      <c r="G721" s="2" t="s">
        <v>28</v>
      </c>
      <c r="H721" s="2" t="s">
        <v>29</v>
      </c>
      <c r="I721" s="2" t="s">
        <v>30</v>
      </c>
      <c r="J721" s="2" t="s">
        <v>2654</v>
      </c>
      <c r="K721" s="2" t="s">
        <v>63</v>
      </c>
      <c r="L721" s="2" t="s">
        <v>89</v>
      </c>
      <c r="M721" s="3">
        <v>0</v>
      </c>
      <c r="N721" s="3">
        <v>0</v>
      </c>
      <c r="O721" s="9" t="s">
        <v>24</v>
      </c>
      <c r="P721" s="3">
        <v>0</v>
      </c>
    </row>
    <row r="722" spans="1:16" x14ac:dyDescent="0.3">
      <c r="A722" s="2" t="s">
        <v>2655</v>
      </c>
      <c r="B722" s="2" t="s">
        <v>2656</v>
      </c>
      <c r="C722" s="2" t="s">
        <v>18</v>
      </c>
      <c r="D722" s="5">
        <v>41.314289000000002</v>
      </c>
      <c r="E722" s="5">
        <v>36.278806000000003</v>
      </c>
      <c r="F722" s="2" t="s">
        <v>1768</v>
      </c>
      <c r="G722" s="2" t="s">
        <v>221</v>
      </c>
      <c r="H722" s="2" t="s">
        <v>222</v>
      </c>
      <c r="I722" s="2" t="s">
        <v>2657</v>
      </c>
      <c r="J722" s="2" t="s">
        <v>2658</v>
      </c>
      <c r="K722" s="2" t="s">
        <v>22</v>
      </c>
      <c r="L722" s="2" t="s">
        <v>23</v>
      </c>
      <c r="M722" s="3">
        <v>0</v>
      </c>
      <c r="N722" s="3">
        <v>0</v>
      </c>
      <c r="O722" s="9" t="s">
        <v>24</v>
      </c>
      <c r="P722" s="3">
        <v>0</v>
      </c>
    </row>
    <row r="723" spans="1:16" x14ac:dyDescent="0.3">
      <c r="A723" s="2" t="s">
        <v>2659</v>
      </c>
      <c r="B723" s="2" t="s">
        <v>1847</v>
      </c>
      <c r="C723" s="2" t="s">
        <v>18</v>
      </c>
      <c r="D723" s="5">
        <v>41.2647762</v>
      </c>
      <c r="E723" s="5">
        <v>36.380534300000001</v>
      </c>
      <c r="F723" s="2" t="s">
        <v>1848</v>
      </c>
      <c r="G723" s="2" t="s">
        <v>221</v>
      </c>
      <c r="H723" s="2" t="s">
        <v>222</v>
      </c>
      <c r="I723" s="2" t="s">
        <v>222</v>
      </c>
      <c r="J723" s="2" t="s">
        <v>2660</v>
      </c>
      <c r="K723" s="2" t="s">
        <v>22</v>
      </c>
      <c r="L723" s="2" t="s">
        <v>99</v>
      </c>
      <c r="M723" s="3">
        <v>2</v>
      </c>
      <c r="N723" s="3">
        <v>1</v>
      </c>
      <c r="O723" s="9" t="s">
        <v>24</v>
      </c>
      <c r="P723" s="3">
        <v>0</v>
      </c>
    </row>
    <row r="724" spans="1:16" x14ac:dyDescent="0.3">
      <c r="A724" s="2" t="s">
        <v>2661</v>
      </c>
      <c r="B724" s="2" t="s">
        <v>2662</v>
      </c>
      <c r="C724" s="2" t="s">
        <v>18</v>
      </c>
      <c r="D724" s="5">
        <v>41.309939999999997</v>
      </c>
      <c r="E724" s="5">
        <v>36.316549999999999</v>
      </c>
      <c r="F724" s="2" t="s">
        <v>2663</v>
      </c>
      <c r="G724" s="2" t="s">
        <v>28</v>
      </c>
      <c r="H724" s="2" t="s">
        <v>29</v>
      </c>
      <c r="I724" s="2" t="s">
        <v>30</v>
      </c>
      <c r="J724" s="2" t="s">
        <v>2664</v>
      </c>
      <c r="K724" s="2" t="s">
        <v>22</v>
      </c>
      <c r="L724" s="2" t="s">
        <v>32</v>
      </c>
      <c r="M724" s="3">
        <v>1</v>
      </c>
      <c r="N724" s="3">
        <v>1</v>
      </c>
      <c r="O724" s="9" t="s">
        <v>54</v>
      </c>
      <c r="P724" s="3">
        <v>0.05</v>
      </c>
    </row>
    <row r="725" spans="1:16" x14ac:dyDescent="0.3">
      <c r="A725" s="2" t="s">
        <v>2665</v>
      </c>
      <c r="B725" s="2" t="s">
        <v>2666</v>
      </c>
      <c r="C725" s="2" t="s">
        <v>18</v>
      </c>
      <c r="D725" s="5">
        <v>41.263829999999999</v>
      </c>
      <c r="E725" s="5">
        <v>36.321106</v>
      </c>
      <c r="F725" s="2" t="s">
        <v>54</v>
      </c>
      <c r="G725" s="2" t="s">
        <v>20</v>
      </c>
      <c r="H725" s="2" t="s">
        <v>20</v>
      </c>
      <c r="I725" s="2" t="s">
        <v>1369</v>
      </c>
      <c r="J725" s="2" t="s">
        <v>2667</v>
      </c>
      <c r="K725" s="2" t="s">
        <v>22</v>
      </c>
      <c r="L725" s="2" t="s">
        <v>32</v>
      </c>
      <c r="M725" s="3">
        <v>1</v>
      </c>
      <c r="N725" s="3">
        <v>1</v>
      </c>
      <c r="O725" s="9" t="s">
        <v>24</v>
      </c>
      <c r="P725" s="3">
        <v>0</v>
      </c>
    </row>
    <row r="726" spans="1:16" x14ac:dyDescent="0.3">
      <c r="A726" s="2" t="s">
        <v>2668</v>
      </c>
      <c r="B726" s="2" t="s">
        <v>2669</v>
      </c>
      <c r="C726" s="2" t="s">
        <v>18</v>
      </c>
      <c r="D726" s="5">
        <v>41.487248999999998</v>
      </c>
      <c r="E726" s="5">
        <v>36.090426700000002</v>
      </c>
      <c r="F726" s="2" t="s">
        <v>2670</v>
      </c>
      <c r="G726" s="2" t="s">
        <v>28</v>
      </c>
      <c r="H726" s="2" t="s">
        <v>29</v>
      </c>
      <c r="I726" s="2" t="s">
        <v>30</v>
      </c>
      <c r="J726" s="2" t="s">
        <v>2671</v>
      </c>
      <c r="K726" s="2" t="s">
        <v>22</v>
      </c>
      <c r="L726" s="2" t="s">
        <v>394</v>
      </c>
      <c r="M726" s="3">
        <v>1</v>
      </c>
      <c r="N726" s="3">
        <v>1</v>
      </c>
      <c r="O726" s="9" t="s">
        <v>24</v>
      </c>
      <c r="P726" s="3">
        <v>-1379.43</v>
      </c>
    </row>
    <row r="727" spans="1:16" x14ac:dyDescent="0.3">
      <c r="A727" s="2" t="s">
        <v>2672</v>
      </c>
      <c r="B727" s="2" t="s">
        <v>2673</v>
      </c>
      <c r="C727" s="2" t="s">
        <v>18</v>
      </c>
      <c r="D727" s="5">
        <v>41.212603000000001</v>
      </c>
      <c r="E727" s="5">
        <v>36.970899000000003</v>
      </c>
      <c r="F727" s="2" t="s">
        <v>2674</v>
      </c>
      <c r="G727" s="2" t="s">
        <v>28</v>
      </c>
      <c r="H727" s="2" t="s">
        <v>29</v>
      </c>
      <c r="I727" s="2" t="s">
        <v>30</v>
      </c>
      <c r="J727" s="2" t="s">
        <v>2675</v>
      </c>
      <c r="K727" s="2" t="s">
        <v>22</v>
      </c>
      <c r="L727" s="2" t="s">
        <v>328</v>
      </c>
      <c r="M727" s="3">
        <v>1</v>
      </c>
      <c r="N727" s="3">
        <v>1</v>
      </c>
      <c r="O727" s="9" t="s">
        <v>24</v>
      </c>
      <c r="P727" s="3">
        <v>-0.04</v>
      </c>
    </row>
    <row r="728" spans="1:16" x14ac:dyDescent="0.3">
      <c r="A728" s="2" t="s">
        <v>2676</v>
      </c>
      <c r="B728" s="2" t="s">
        <v>2677</v>
      </c>
      <c r="C728" s="2" t="s">
        <v>18</v>
      </c>
      <c r="D728" s="5">
        <v>41.569479999999999</v>
      </c>
      <c r="E728" s="5">
        <v>35.915424999999999</v>
      </c>
      <c r="F728" s="2" t="s">
        <v>54</v>
      </c>
      <c r="G728" s="2" t="s">
        <v>259</v>
      </c>
      <c r="H728" s="2" t="s">
        <v>260</v>
      </c>
      <c r="I728" s="2" t="s">
        <v>260</v>
      </c>
      <c r="J728" s="2" t="s">
        <v>2678</v>
      </c>
      <c r="K728" s="2" t="s">
        <v>22</v>
      </c>
      <c r="L728" s="2" t="s">
        <v>53</v>
      </c>
      <c r="M728" s="3">
        <v>1</v>
      </c>
      <c r="N728" s="3">
        <v>1</v>
      </c>
      <c r="O728" s="9" t="s">
        <v>24</v>
      </c>
      <c r="P728" s="3">
        <v>0</v>
      </c>
    </row>
    <row r="729" spans="1:16" x14ac:dyDescent="0.3">
      <c r="A729" s="2" t="s">
        <v>2679</v>
      </c>
      <c r="B729" s="2" t="s">
        <v>2680</v>
      </c>
      <c r="C729" s="2" t="s">
        <v>18</v>
      </c>
      <c r="D729" s="5">
        <v>40.868337199999999</v>
      </c>
      <c r="E729" s="5">
        <v>36.821427</v>
      </c>
      <c r="F729" s="2" t="s">
        <v>2681</v>
      </c>
      <c r="G729" s="2" t="s">
        <v>28</v>
      </c>
      <c r="H729" s="2" t="s">
        <v>29</v>
      </c>
      <c r="I729" s="2" t="s">
        <v>30</v>
      </c>
      <c r="J729" s="2" t="s">
        <v>2682</v>
      </c>
      <c r="K729" s="2" t="s">
        <v>63</v>
      </c>
      <c r="L729" s="2" t="s">
        <v>64</v>
      </c>
      <c r="M729" s="3">
        <v>3</v>
      </c>
      <c r="N729" s="3">
        <v>1</v>
      </c>
      <c r="O729" s="9" t="s">
        <v>24</v>
      </c>
      <c r="P729" s="3">
        <v>-2167.84</v>
      </c>
    </row>
    <row r="730" spans="1:16" x14ac:dyDescent="0.3">
      <c r="A730" s="2" t="s">
        <v>2683</v>
      </c>
      <c r="B730" s="2" t="s">
        <v>2684</v>
      </c>
      <c r="C730" s="2" t="s">
        <v>18</v>
      </c>
      <c r="D730" s="5">
        <v>41.257635000000001</v>
      </c>
      <c r="E730" s="5">
        <v>36.346046999999999</v>
      </c>
      <c r="F730" s="2" t="s">
        <v>1768</v>
      </c>
      <c r="G730" s="2" t="s">
        <v>28</v>
      </c>
      <c r="H730" s="2" t="s">
        <v>29</v>
      </c>
      <c r="I730" s="2" t="s">
        <v>30</v>
      </c>
      <c r="J730" s="2" t="s">
        <v>2685</v>
      </c>
      <c r="K730" s="2" t="s">
        <v>22</v>
      </c>
      <c r="L730" s="2" t="s">
        <v>99</v>
      </c>
      <c r="M730" s="3">
        <v>0</v>
      </c>
      <c r="N730" s="3">
        <v>0</v>
      </c>
      <c r="O730" s="9" t="s">
        <v>24</v>
      </c>
      <c r="P730" s="3">
        <v>0</v>
      </c>
    </row>
    <row r="731" spans="1:16" x14ac:dyDescent="0.3">
      <c r="A731" s="2" t="s">
        <v>2686</v>
      </c>
      <c r="B731" s="2" t="s">
        <v>2687</v>
      </c>
      <c r="C731" s="2" t="s">
        <v>18</v>
      </c>
      <c r="D731" s="5">
        <v>41.315868000000002</v>
      </c>
      <c r="E731" s="5">
        <v>36.279747</v>
      </c>
      <c r="F731" s="2" t="s">
        <v>1768</v>
      </c>
      <c r="G731" s="2" t="s">
        <v>28</v>
      </c>
      <c r="H731" s="2" t="s">
        <v>29</v>
      </c>
      <c r="I731" s="2" t="s">
        <v>30</v>
      </c>
      <c r="J731" s="2" t="s">
        <v>2688</v>
      </c>
      <c r="K731" s="2" t="s">
        <v>22</v>
      </c>
      <c r="L731" s="2" t="s">
        <v>23</v>
      </c>
      <c r="M731" s="3">
        <v>0</v>
      </c>
      <c r="N731" s="3">
        <v>0</v>
      </c>
      <c r="O731" s="9" t="s">
        <v>24</v>
      </c>
      <c r="P731" s="3">
        <v>0</v>
      </c>
    </row>
    <row r="732" spans="1:16" x14ac:dyDescent="0.3">
      <c r="A732" s="2" t="s">
        <v>2689</v>
      </c>
      <c r="B732" s="2" t="s">
        <v>2690</v>
      </c>
      <c r="C732" s="2" t="s">
        <v>18</v>
      </c>
      <c r="D732" s="5">
        <v>41.311670999999997</v>
      </c>
      <c r="E732" s="5">
        <v>36.319493000000001</v>
      </c>
      <c r="F732" s="2" t="s">
        <v>1768</v>
      </c>
      <c r="G732" s="2" t="s">
        <v>28</v>
      </c>
      <c r="H732" s="2" t="s">
        <v>29</v>
      </c>
      <c r="I732" s="2" t="s">
        <v>30</v>
      </c>
      <c r="J732" s="2" t="s">
        <v>2691</v>
      </c>
      <c r="K732" s="2" t="s">
        <v>22</v>
      </c>
      <c r="L732" s="2" t="s">
        <v>32</v>
      </c>
      <c r="M732" s="3">
        <v>0</v>
      </c>
      <c r="N732" s="3">
        <v>0</v>
      </c>
      <c r="O732" s="9" t="s">
        <v>24</v>
      </c>
      <c r="P732" s="3">
        <v>0</v>
      </c>
    </row>
    <row r="733" spans="1:16" x14ac:dyDescent="0.3">
      <c r="A733" s="2" t="s">
        <v>2692</v>
      </c>
      <c r="B733" s="2" t="s">
        <v>2693</v>
      </c>
      <c r="C733" s="2" t="s">
        <v>18</v>
      </c>
      <c r="D733" s="5">
        <v>41.570279999999997</v>
      </c>
      <c r="E733" s="5">
        <v>35.902594999999998</v>
      </c>
      <c r="F733" s="2" t="s">
        <v>24</v>
      </c>
      <c r="G733" s="2" t="s">
        <v>28</v>
      </c>
      <c r="H733" s="2" t="s">
        <v>29</v>
      </c>
      <c r="I733" s="2" t="s">
        <v>30</v>
      </c>
      <c r="J733" s="2" t="s">
        <v>2694</v>
      </c>
      <c r="K733" s="2" t="s">
        <v>22</v>
      </c>
      <c r="L733" s="2" t="s">
        <v>53</v>
      </c>
      <c r="M733" s="3">
        <v>0</v>
      </c>
      <c r="N733" s="3">
        <v>0</v>
      </c>
      <c r="O733" s="9" t="s">
        <v>24</v>
      </c>
      <c r="P733" s="3">
        <v>0</v>
      </c>
    </row>
    <row r="734" spans="1:16" x14ac:dyDescent="0.3">
      <c r="A734" s="2" t="s">
        <v>2695</v>
      </c>
      <c r="B734" s="2" t="s">
        <v>2696</v>
      </c>
      <c r="C734" s="2" t="s">
        <v>18</v>
      </c>
      <c r="D734" s="5">
        <v>41.327551999999997</v>
      </c>
      <c r="E734" s="5">
        <v>36.302059</v>
      </c>
      <c r="F734" s="2" t="s">
        <v>24</v>
      </c>
      <c r="G734" s="2" t="s">
        <v>28</v>
      </c>
      <c r="H734" s="2" t="s">
        <v>29</v>
      </c>
      <c r="I734" s="2" t="s">
        <v>30</v>
      </c>
      <c r="J734" s="2" t="s">
        <v>2697</v>
      </c>
      <c r="K734" s="2" t="s">
        <v>22</v>
      </c>
      <c r="L734" s="2" t="s">
        <v>23</v>
      </c>
      <c r="M734" s="3">
        <v>0</v>
      </c>
      <c r="N734" s="3">
        <v>0</v>
      </c>
      <c r="O734" s="9" t="s">
        <v>24</v>
      </c>
      <c r="P734" s="3">
        <v>0</v>
      </c>
    </row>
    <row r="735" spans="1:16" x14ac:dyDescent="0.3">
      <c r="A735" s="2" t="s">
        <v>2698</v>
      </c>
      <c r="B735" s="2" t="s">
        <v>2699</v>
      </c>
      <c r="C735" s="2" t="s">
        <v>18</v>
      </c>
      <c r="D735" s="5">
        <v>41.213048000000001</v>
      </c>
      <c r="E735" s="5">
        <v>36.971325999999998</v>
      </c>
      <c r="F735" s="2" t="s">
        <v>2700</v>
      </c>
      <c r="G735" s="2" t="s">
        <v>28</v>
      </c>
      <c r="H735" s="2" t="s">
        <v>29</v>
      </c>
      <c r="I735" s="2" t="s">
        <v>30</v>
      </c>
      <c r="J735" s="2" t="s">
        <v>2701</v>
      </c>
      <c r="K735" s="2" t="s">
        <v>22</v>
      </c>
      <c r="L735" s="2" t="s">
        <v>328</v>
      </c>
      <c r="M735" s="3">
        <v>0</v>
      </c>
      <c r="N735" s="3">
        <v>1</v>
      </c>
      <c r="O735" s="9" t="s">
        <v>24</v>
      </c>
      <c r="P735" s="3">
        <v>0</v>
      </c>
    </row>
    <row r="736" spans="1:16" x14ac:dyDescent="0.3">
      <c r="A736" s="2" t="s">
        <v>2702</v>
      </c>
      <c r="B736" s="2" t="s">
        <v>2703</v>
      </c>
      <c r="C736" s="2" t="s">
        <v>18</v>
      </c>
      <c r="D736" s="5">
        <v>41.294533999999999</v>
      </c>
      <c r="E736" s="5">
        <v>36.270409000000001</v>
      </c>
      <c r="F736" s="2" t="s">
        <v>2704</v>
      </c>
      <c r="G736" s="2" t="s">
        <v>221</v>
      </c>
      <c r="H736" s="2" t="s">
        <v>222</v>
      </c>
      <c r="I736" s="2" t="s">
        <v>222</v>
      </c>
      <c r="J736" s="2" t="s">
        <v>2705</v>
      </c>
      <c r="K736" s="2" t="s">
        <v>22</v>
      </c>
      <c r="L736" s="2" t="s">
        <v>32</v>
      </c>
      <c r="M736" s="3">
        <v>0</v>
      </c>
      <c r="N736" s="3">
        <v>0</v>
      </c>
      <c r="O736" s="9" t="s">
        <v>24</v>
      </c>
      <c r="P736" s="3">
        <v>0</v>
      </c>
    </row>
    <row r="737" spans="1:16" x14ac:dyDescent="0.3">
      <c r="A737" s="2" t="s">
        <v>2706</v>
      </c>
      <c r="B737" s="2" t="s">
        <v>2707</v>
      </c>
      <c r="C737" s="2" t="s">
        <v>18</v>
      </c>
      <c r="D737" s="5">
        <v>41.523868</v>
      </c>
      <c r="E737" s="5">
        <v>36.085379000000003</v>
      </c>
      <c r="F737" s="2" t="s">
        <v>1768</v>
      </c>
      <c r="G737" s="2" t="s">
        <v>28</v>
      </c>
      <c r="H737" s="2" t="s">
        <v>29</v>
      </c>
      <c r="I737" s="2" t="s">
        <v>30</v>
      </c>
      <c r="J737" s="2" t="s">
        <v>2708</v>
      </c>
      <c r="K737" s="2" t="s">
        <v>22</v>
      </c>
      <c r="L737" s="2" t="s">
        <v>394</v>
      </c>
      <c r="M737" s="3">
        <v>0</v>
      </c>
      <c r="N737" s="3">
        <v>0</v>
      </c>
      <c r="O737" s="9" t="s">
        <v>24</v>
      </c>
      <c r="P737" s="3">
        <v>0</v>
      </c>
    </row>
    <row r="738" spans="1:16" x14ac:dyDescent="0.3">
      <c r="A738" s="2" t="s">
        <v>2709</v>
      </c>
      <c r="B738" s="2" t="s">
        <v>2710</v>
      </c>
      <c r="C738" s="2" t="s">
        <v>18</v>
      </c>
      <c r="D738" s="5">
        <v>41.247206400000003</v>
      </c>
      <c r="E738" s="5">
        <v>36.3612076</v>
      </c>
      <c r="F738" s="2" t="s">
        <v>54</v>
      </c>
      <c r="G738" s="2" t="s">
        <v>259</v>
      </c>
      <c r="H738" s="2" t="s">
        <v>260</v>
      </c>
      <c r="I738" s="2" t="s">
        <v>260</v>
      </c>
      <c r="J738" s="2" t="s">
        <v>2711</v>
      </c>
      <c r="K738" s="2" t="s">
        <v>22</v>
      </c>
      <c r="L738" s="2" t="s">
        <v>99</v>
      </c>
      <c r="M738" s="3">
        <v>1</v>
      </c>
      <c r="N738" s="3">
        <v>1</v>
      </c>
      <c r="O738" s="9" t="s">
        <v>24</v>
      </c>
      <c r="P738" s="3">
        <v>0</v>
      </c>
    </row>
    <row r="739" spans="1:16" x14ac:dyDescent="0.3">
      <c r="A739" s="2" t="s">
        <v>2712</v>
      </c>
      <c r="B739" s="2" t="s">
        <v>2713</v>
      </c>
      <c r="C739" s="2" t="s">
        <v>18</v>
      </c>
      <c r="D739" s="5">
        <v>41.268408999999998</v>
      </c>
      <c r="E739" s="5">
        <v>36.304580700000002</v>
      </c>
      <c r="F739" s="2" t="s">
        <v>54</v>
      </c>
      <c r="G739" s="2" t="s">
        <v>259</v>
      </c>
      <c r="H739" s="2" t="s">
        <v>260</v>
      </c>
      <c r="I739" s="2" t="s">
        <v>260</v>
      </c>
      <c r="J739" s="2" t="s">
        <v>2714</v>
      </c>
      <c r="K739" s="2" t="s">
        <v>22</v>
      </c>
      <c r="L739" s="2" t="s">
        <v>32</v>
      </c>
      <c r="M739" s="3">
        <v>1</v>
      </c>
      <c r="N739" s="3">
        <v>1</v>
      </c>
      <c r="O739" s="9" t="s">
        <v>24</v>
      </c>
      <c r="P739" s="3">
        <v>0</v>
      </c>
    </row>
    <row r="740" spans="1:16" x14ac:dyDescent="0.3">
      <c r="A740" s="2" t="s">
        <v>2715</v>
      </c>
      <c r="B740" s="2" t="s">
        <v>2716</v>
      </c>
      <c r="C740" s="2" t="s">
        <v>18</v>
      </c>
      <c r="D740" s="5">
        <v>41.434077700000003</v>
      </c>
      <c r="E740" s="5">
        <v>36.146031299999997</v>
      </c>
      <c r="F740" s="2" t="s">
        <v>54</v>
      </c>
      <c r="G740" s="2" t="s">
        <v>259</v>
      </c>
      <c r="H740" s="2" t="s">
        <v>260</v>
      </c>
      <c r="I740" s="2" t="s">
        <v>260</v>
      </c>
      <c r="J740" s="2" t="s">
        <v>2717</v>
      </c>
      <c r="K740" s="2" t="s">
        <v>22</v>
      </c>
      <c r="L740" s="2" t="s">
        <v>23</v>
      </c>
      <c r="M740" s="3">
        <v>1</v>
      </c>
      <c r="N740" s="3">
        <v>1</v>
      </c>
      <c r="O740" s="9" t="s">
        <v>24</v>
      </c>
      <c r="P740" s="3">
        <v>0</v>
      </c>
    </row>
    <row r="741" spans="1:16" x14ac:dyDescent="0.3">
      <c r="A741" s="2" t="s">
        <v>2718</v>
      </c>
      <c r="B741" s="2" t="s">
        <v>2719</v>
      </c>
      <c r="C741" s="2" t="s">
        <v>18</v>
      </c>
      <c r="D741" s="5">
        <v>41.5694321</v>
      </c>
      <c r="E741" s="5">
        <v>35.873484300000001</v>
      </c>
      <c r="F741" s="2" t="s">
        <v>2720</v>
      </c>
      <c r="G741" s="2" t="s">
        <v>28</v>
      </c>
      <c r="H741" s="2" t="s">
        <v>29</v>
      </c>
      <c r="I741" s="2" t="s">
        <v>30</v>
      </c>
      <c r="J741" s="2" t="s">
        <v>2721</v>
      </c>
      <c r="K741" s="2" t="s">
        <v>22</v>
      </c>
      <c r="L741" s="2" t="s">
        <v>53</v>
      </c>
      <c r="M741" s="3">
        <v>0</v>
      </c>
      <c r="N741" s="3">
        <v>0</v>
      </c>
      <c r="O741" s="9" t="s">
        <v>24</v>
      </c>
      <c r="P741" s="3">
        <v>0</v>
      </c>
    </row>
    <row r="742" spans="1:16" x14ac:dyDescent="0.3">
      <c r="A742" s="2" t="s">
        <v>2722</v>
      </c>
      <c r="B742" s="2" t="s">
        <v>2723</v>
      </c>
      <c r="C742" s="2" t="s">
        <v>18</v>
      </c>
      <c r="D742" s="5">
        <v>0</v>
      </c>
      <c r="E742" s="5">
        <v>0</v>
      </c>
      <c r="F742" s="2" t="s">
        <v>1768</v>
      </c>
      <c r="G742" s="2" t="s">
        <v>28</v>
      </c>
      <c r="H742" s="2" t="s">
        <v>29</v>
      </c>
      <c r="I742" s="2" t="s">
        <v>30</v>
      </c>
      <c r="J742" s="2" t="s">
        <v>2724</v>
      </c>
      <c r="K742" s="2" t="s">
        <v>2725</v>
      </c>
      <c r="L742" s="2" t="s">
        <v>155</v>
      </c>
      <c r="M742" s="3">
        <v>0</v>
      </c>
      <c r="N742" s="3">
        <v>0</v>
      </c>
      <c r="O742" s="9" t="s">
        <v>24</v>
      </c>
      <c r="P742" s="3">
        <v>0</v>
      </c>
    </row>
    <row r="743" spans="1:16" x14ac:dyDescent="0.3">
      <c r="A743" s="2" t="s">
        <v>2726</v>
      </c>
      <c r="B743" s="2" t="s">
        <v>2727</v>
      </c>
      <c r="C743" s="2" t="s">
        <v>18</v>
      </c>
      <c r="D743" s="5">
        <v>41.378992500000003</v>
      </c>
      <c r="E743" s="5">
        <v>36.219762799999998</v>
      </c>
      <c r="F743" s="2" t="s">
        <v>2728</v>
      </c>
      <c r="G743" s="2" t="s">
        <v>28</v>
      </c>
      <c r="H743" s="2" t="s">
        <v>29</v>
      </c>
      <c r="I743" s="2" t="s">
        <v>30</v>
      </c>
      <c r="J743" s="2" t="s">
        <v>2729</v>
      </c>
      <c r="K743" s="2" t="s">
        <v>22</v>
      </c>
      <c r="L743" s="2" t="s">
        <v>23</v>
      </c>
      <c r="M743" s="3">
        <v>1</v>
      </c>
      <c r="N743" s="3">
        <v>1</v>
      </c>
      <c r="O743" s="9" t="s">
        <v>24</v>
      </c>
      <c r="P743" s="3">
        <v>0</v>
      </c>
    </row>
    <row r="744" spans="1:16" x14ac:dyDescent="0.3">
      <c r="A744" s="2" t="s">
        <v>2730</v>
      </c>
      <c r="B744" s="2" t="s">
        <v>2731</v>
      </c>
      <c r="C744" s="2" t="s">
        <v>18</v>
      </c>
      <c r="D744" s="5">
        <v>41.523525100000001</v>
      </c>
      <c r="E744" s="5">
        <v>36.086314399999999</v>
      </c>
      <c r="F744" s="2" t="s">
        <v>2732</v>
      </c>
      <c r="G744" s="2" t="s">
        <v>28</v>
      </c>
      <c r="H744" s="2" t="s">
        <v>29</v>
      </c>
      <c r="I744" s="2" t="s">
        <v>30</v>
      </c>
      <c r="J744" s="2" t="s">
        <v>2733</v>
      </c>
      <c r="K744" s="2" t="s">
        <v>22</v>
      </c>
      <c r="L744" s="2" t="s">
        <v>394</v>
      </c>
      <c r="M744" s="3">
        <v>0</v>
      </c>
      <c r="N744" s="3">
        <v>0</v>
      </c>
      <c r="O744" s="9" t="s">
        <v>24</v>
      </c>
      <c r="P744" s="3">
        <v>0</v>
      </c>
    </row>
    <row r="745" spans="1:16" x14ac:dyDescent="0.3">
      <c r="A745" s="2" t="s">
        <v>2734</v>
      </c>
      <c r="B745" s="2" t="s">
        <v>2735</v>
      </c>
      <c r="C745" s="2" t="s">
        <v>18</v>
      </c>
      <c r="D745" s="5">
        <v>41.550588300000001</v>
      </c>
      <c r="E745" s="5">
        <v>35.929781699999999</v>
      </c>
      <c r="F745" s="2" t="s">
        <v>2736</v>
      </c>
      <c r="G745" s="2" t="s">
        <v>28</v>
      </c>
      <c r="H745" s="2" t="s">
        <v>29</v>
      </c>
      <c r="I745" s="2" t="s">
        <v>30</v>
      </c>
      <c r="J745" s="2" t="s">
        <v>2737</v>
      </c>
      <c r="K745" s="2" t="s">
        <v>22</v>
      </c>
      <c r="L745" s="2" t="s">
        <v>53</v>
      </c>
      <c r="M745" s="3">
        <v>0</v>
      </c>
      <c r="N745" s="3">
        <v>1</v>
      </c>
      <c r="O745" s="9" t="s">
        <v>24</v>
      </c>
      <c r="P745" s="3">
        <v>-312.48</v>
      </c>
    </row>
    <row r="746" spans="1:16" x14ac:dyDescent="0.3">
      <c r="A746" s="2" t="s">
        <v>2738</v>
      </c>
      <c r="B746" s="2" t="s">
        <v>2739</v>
      </c>
      <c r="C746" s="2" t="s">
        <v>18</v>
      </c>
      <c r="D746" s="5">
        <v>41.216885699999999</v>
      </c>
      <c r="E746" s="5">
        <v>36.455303200000003</v>
      </c>
      <c r="F746" s="2" t="s">
        <v>54</v>
      </c>
      <c r="G746" s="2" t="s">
        <v>20</v>
      </c>
      <c r="H746" s="2" t="s">
        <v>20</v>
      </c>
      <c r="I746" s="2" t="s">
        <v>1369</v>
      </c>
      <c r="J746" s="2" t="s">
        <v>2740</v>
      </c>
      <c r="K746" s="2" t="s">
        <v>22</v>
      </c>
      <c r="L746" s="2" t="s">
        <v>39</v>
      </c>
      <c r="M746" s="3">
        <v>0</v>
      </c>
      <c r="N746" s="3">
        <v>0</v>
      </c>
      <c r="O746" s="9" t="s">
        <v>54</v>
      </c>
      <c r="P746" s="3">
        <v>0</v>
      </c>
    </row>
    <row r="747" spans="1:16" x14ac:dyDescent="0.3">
      <c r="A747" s="2" t="s">
        <v>2741</v>
      </c>
      <c r="B747" s="2" t="s">
        <v>2742</v>
      </c>
      <c r="C747" s="2" t="s">
        <v>18</v>
      </c>
      <c r="D747" s="5">
        <v>0</v>
      </c>
      <c r="E747" s="5">
        <v>0</v>
      </c>
      <c r="F747" s="2" t="s">
        <v>1768</v>
      </c>
      <c r="G747" s="2" t="s">
        <v>221</v>
      </c>
      <c r="H747" s="2" t="s">
        <v>222</v>
      </c>
      <c r="I747" s="2" t="s">
        <v>222</v>
      </c>
      <c r="J747" s="2" t="s">
        <v>2743</v>
      </c>
      <c r="K747" s="2" t="s">
        <v>22</v>
      </c>
      <c r="L747" s="2" t="s">
        <v>39</v>
      </c>
      <c r="M747" s="3">
        <v>0</v>
      </c>
      <c r="N747" s="3">
        <v>0</v>
      </c>
      <c r="O747" s="9" t="s">
        <v>24</v>
      </c>
      <c r="P747" s="3">
        <v>0</v>
      </c>
    </row>
    <row r="748" spans="1:16" x14ac:dyDescent="0.3">
      <c r="A748" s="2" t="s">
        <v>2744</v>
      </c>
      <c r="B748" s="2" t="s">
        <v>2745</v>
      </c>
      <c r="C748" s="2" t="s">
        <v>18</v>
      </c>
      <c r="D748" s="5">
        <v>0</v>
      </c>
      <c r="E748" s="5">
        <v>0</v>
      </c>
      <c r="F748" s="2" t="s">
        <v>1768</v>
      </c>
      <c r="G748" s="2" t="s">
        <v>221</v>
      </c>
      <c r="H748" s="2" t="s">
        <v>222</v>
      </c>
      <c r="I748" s="2" t="s">
        <v>222</v>
      </c>
      <c r="J748" s="2" t="s">
        <v>2746</v>
      </c>
      <c r="K748" s="2" t="s">
        <v>22</v>
      </c>
      <c r="L748" s="2" t="s">
        <v>39</v>
      </c>
      <c r="M748" s="3">
        <v>0</v>
      </c>
      <c r="N748" s="3">
        <v>0</v>
      </c>
      <c r="O748" s="9" t="s">
        <v>24</v>
      </c>
      <c r="P748" s="3">
        <v>0</v>
      </c>
    </row>
    <row r="749" spans="1:16" x14ac:dyDescent="0.3">
      <c r="A749" s="2" t="s">
        <v>2747</v>
      </c>
      <c r="B749" s="2" t="s">
        <v>2748</v>
      </c>
      <c r="C749" s="2" t="s">
        <v>18</v>
      </c>
      <c r="D749" s="5">
        <v>0</v>
      </c>
      <c r="E749" s="5">
        <v>0</v>
      </c>
      <c r="F749" s="2" t="s">
        <v>1768</v>
      </c>
      <c r="G749" s="2" t="s">
        <v>221</v>
      </c>
      <c r="H749" s="2" t="s">
        <v>1049</v>
      </c>
      <c r="I749" s="2" t="s">
        <v>1049</v>
      </c>
      <c r="J749" s="2" t="s">
        <v>2749</v>
      </c>
      <c r="K749" s="2" t="s">
        <v>22</v>
      </c>
      <c r="L749" s="2" t="s">
        <v>23</v>
      </c>
      <c r="M749" s="3">
        <v>0</v>
      </c>
      <c r="N749" s="3">
        <v>0</v>
      </c>
      <c r="O749" s="9" t="s">
        <v>24</v>
      </c>
      <c r="P749" s="3">
        <v>0</v>
      </c>
    </row>
    <row r="750" spans="1:16" x14ac:dyDescent="0.3">
      <c r="A750" s="2" t="s">
        <v>2750</v>
      </c>
      <c r="B750" s="2" t="s">
        <v>2751</v>
      </c>
      <c r="C750" s="2" t="s">
        <v>18</v>
      </c>
      <c r="D750" s="5">
        <v>41.106658299999999</v>
      </c>
      <c r="E750" s="5">
        <v>35.131380900000003</v>
      </c>
      <c r="F750" s="2" t="s">
        <v>452</v>
      </c>
      <c r="G750" s="2" t="s">
        <v>28</v>
      </c>
      <c r="H750" s="2" t="s">
        <v>29</v>
      </c>
      <c r="I750" s="2" t="s">
        <v>30</v>
      </c>
      <c r="J750" s="2" t="s">
        <v>2752</v>
      </c>
      <c r="K750" s="2" t="s">
        <v>22</v>
      </c>
      <c r="L750" s="2" t="s">
        <v>164</v>
      </c>
      <c r="M750" s="3">
        <v>1</v>
      </c>
      <c r="N750" s="3">
        <v>1</v>
      </c>
      <c r="O750" s="9" t="s">
        <v>24</v>
      </c>
      <c r="P750" s="3">
        <v>-0.84</v>
      </c>
    </row>
    <row r="751" spans="1:16" x14ac:dyDescent="0.3">
      <c r="A751" s="2" t="s">
        <v>2753</v>
      </c>
      <c r="B751" s="2" t="s">
        <v>2754</v>
      </c>
      <c r="C751" s="2" t="s">
        <v>18</v>
      </c>
      <c r="D751" s="5">
        <v>41.3465481</v>
      </c>
      <c r="E751" s="5">
        <v>36.628782100000002</v>
      </c>
      <c r="F751" s="2" t="s">
        <v>2755</v>
      </c>
      <c r="G751" s="2" t="s">
        <v>28</v>
      </c>
      <c r="H751" s="2" t="s">
        <v>29</v>
      </c>
      <c r="I751" s="2" t="s">
        <v>30</v>
      </c>
      <c r="J751" s="2" t="s">
        <v>2756</v>
      </c>
      <c r="K751" s="2" t="s">
        <v>22</v>
      </c>
      <c r="L751" s="2" t="s">
        <v>44</v>
      </c>
      <c r="M751" s="3">
        <v>3</v>
      </c>
      <c r="N751" s="3">
        <v>1</v>
      </c>
      <c r="O751" s="9" t="s">
        <v>24</v>
      </c>
      <c r="P751" s="3">
        <v>0</v>
      </c>
    </row>
    <row r="752" spans="1:16" x14ac:dyDescent="0.3">
      <c r="A752" s="2" t="s">
        <v>2757</v>
      </c>
      <c r="B752" s="2" t="s">
        <v>2758</v>
      </c>
      <c r="C752" s="2" t="s">
        <v>18</v>
      </c>
      <c r="D752" s="5">
        <v>0</v>
      </c>
      <c r="E752" s="5">
        <v>0</v>
      </c>
      <c r="F752" s="2" t="s">
        <v>1768</v>
      </c>
      <c r="G752" s="2" t="s">
        <v>28</v>
      </c>
      <c r="H752" s="2" t="s">
        <v>29</v>
      </c>
      <c r="I752" s="2" t="s">
        <v>30</v>
      </c>
      <c r="J752" s="2" t="s">
        <v>2759</v>
      </c>
      <c r="K752" s="2" t="s">
        <v>22</v>
      </c>
      <c r="L752" s="2" t="s">
        <v>23</v>
      </c>
      <c r="M752" s="3">
        <v>0</v>
      </c>
      <c r="N752" s="3">
        <v>0</v>
      </c>
      <c r="O752" s="9" t="s">
        <v>24</v>
      </c>
      <c r="P752" s="3">
        <v>-0.67</v>
      </c>
    </row>
    <row r="753" spans="1:16" x14ac:dyDescent="0.3">
      <c r="A753" s="2" t="s">
        <v>2760</v>
      </c>
      <c r="B753" s="2" t="s">
        <v>2400</v>
      </c>
      <c r="C753" s="2" t="s">
        <v>18</v>
      </c>
      <c r="D753" s="5">
        <v>40.9094038</v>
      </c>
      <c r="E753" s="5">
        <v>35.894410200000003</v>
      </c>
      <c r="F753" s="2" t="s">
        <v>2401</v>
      </c>
      <c r="G753" s="2" t="s">
        <v>221</v>
      </c>
      <c r="H753" s="2" t="s">
        <v>222</v>
      </c>
      <c r="I753" s="2" t="s">
        <v>222</v>
      </c>
      <c r="J753" s="2" t="s">
        <v>2402</v>
      </c>
      <c r="K753" s="2" t="s">
        <v>22</v>
      </c>
      <c r="L753" s="2" t="s">
        <v>76</v>
      </c>
      <c r="M753" s="3">
        <v>9</v>
      </c>
      <c r="N753" s="3">
        <v>1</v>
      </c>
      <c r="O753" s="9" t="s">
        <v>24</v>
      </c>
      <c r="P753" s="3">
        <v>-1111.75</v>
      </c>
    </row>
    <row r="754" spans="1:16" x14ac:dyDescent="0.3">
      <c r="A754" s="2" t="s">
        <v>2761</v>
      </c>
      <c r="B754" s="2" t="s">
        <v>2762</v>
      </c>
      <c r="C754" s="2" t="s">
        <v>18</v>
      </c>
      <c r="D754" s="5">
        <v>41.235594599999999</v>
      </c>
      <c r="E754" s="5">
        <v>36.574918099999998</v>
      </c>
      <c r="F754" s="2" t="s">
        <v>2763</v>
      </c>
      <c r="G754" s="2" t="s">
        <v>28</v>
      </c>
      <c r="H754" s="2" t="s">
        <v>29</v>
      </c>
      <c r="I754" s="2" t="s">
        <v>30</v>
      </c>
      <c r="J754" s="2" t="s">
        <v>2764</v>
      </c>
      <c r="K754" s="2" t="s">
        <v>22</v>
      </c>
      <c r="L754" s="2" t="s">
        <v>44</v>
      </c>
      <c r="M754" s="3">
        <v>0</v>
      </c>
      <c r="N754" s="3">
        <v>0</v>
      </c>
      <c r="O754" s="9" t="s">
        <v>24</v>
      </c>
      <c r="P754" s="3">
        <v>0</v>
      </c>
    </row>
    <row r="755" spans="1:16" x14ac:dyDescent="0.3">
      <c r="A755" s="2" t="s">
        <v>2765</v>
      </c>
      <c r="B755" s="2" t="s">
        <v>2766</v>
      </c>
      <c r="C755" s="2" t="s">
        <v>18</v>
      </c>
      <c r="D755" s="5">
        <v>42.019049699999997</v>
      </c>
      <c r="E755" s="5">
        <v>35.173399799999999</v>
      </c>
      <c r="F755" s="2" t="s">
        <v>54</v>
      </c>
      <c r="G755" s="2" t="s">
        <v>259</v>
      </c>
      <c r="H755" s="2" t="s">
        <v>260</v>
      </c>
      <c r="I755" s="2" t="s">
        <v>260</v>
      </c>
      <c r="J755" s="2" t="s">
        <v>2767</v>
      </c>
      <c r="K755" s="2" t="s">
        <v>154</v>
      </c>
      <c r="L755" s="2" t="s">
        <v>155</v>
      </c>
      <c r="M755" s="3">
        <v>1</v>
      </c>
      <c r="N755" s="3">
        <v>1</v>
      </c>
      <c r="O755" s="9" t="s">
        <v>24</v>
      </c>
      <c r="P755" s="3">
        <v>0</v>
      </c>
    </row>
    <row r="756" spans="1:16" x14ac:dyDescent="0.3">
      <c r="A756" s="2" t="s">
        <v>2768</v>
      </c>
      <c r="B756" s="2" t="s">
        <v>2769</v>
      </c>
      <c r="C756" s="2" t="s">
        <v>18</v>
      </c>
      <c r="D756" s="5">
        <v>41.355543500000003</v>
      </c>
      <c r="E756" s="5">
        <v>36.226412500000002</v>
      </c>
      <c r="F756" s="2" t="s">
        <v>54</v>
      </c>
      <c r="G756" s="2" t="s">
        <v>259</v>
      </c>
      <c r="H756" s="2" t="s">
        <v>260</v>
      </c>
      <c r="I756" s="2" t="s">
        <v>260</v>
      </c>
      <c r="J756" s="2" t="s">
        <v>2770</v>
      </c>
      <c r="K756" s="2" t="s">
        <v>22</v>
      </c>
      <c r="L756" s="2" t="s">
        <v>23</v>
      </c>
      <c r="M756" s="3">
        <v>1</v>
      </c>
      <c r="N756" s="3">
        <v>1</v>
      </c>
      <c r="O756" s="9" t="s">
        <v>24</v>
      </c>
      <c r="P756" s="3">
        <v>0</v>
      </c>
    </row>
    <row r="757" spans="1:16" x14ac:dyDescent="0.3">
      <c r="A757" s="2" t="s">
        <v>2771</v>
      </c>
      <c r="B757" s="2" t="s">
        <v>2772</v>
      </c>
      <c r="C757" s="2" t="s">
        <v>18</v>
      </c>
      <c r="D757" s="5">
        <v>41.569423299999997</v>
      </c>
      <c r="E757" s="5">
        <v>35.873424999999997</v>
      </c>
      <c r="F757" s="2" t="s">
        <v>1768</v>
      </c>
      <c r="G757" s="2" t="s">
        <v>221</v>
      </c>
      <c r="H757" s="2" t="s">
        <v>222</v>
      </c>
      <c r="I757" s="2" t="s">
        <v>222</v>
      </c>
      <c r="J757" s="2" t="s">
        <v>2721</v>
      </c>
      <c r="K757" s="2" t="s">
        <v>22</v>
      </c>
      <c r="L757" s="2" t="s">
        <v>53</v>
      </c>
      <c r="M757" s="3">
        <v>0</v>
      </c>
      <c r="N757" s="3">
        <v>0</v>
      </c>
      <c r="O757" s="9" t="s">
        <v>24</v>
      </c>
      <c r="P757" s="3">
        <v>0</v>
      </c>
    </row>
    <row r="758" spans="1:16" x14ac:dyDescent="0.3">
      <c r="A758" s="2" t="s">
        <v>2773</v>
      </c>
      <c r="B758" s="2" t="s">
        <v>2774</v>
      </c>
      <c r="C758" s="2" t="s">
        <v>18</v>
      </c>
      <c r="D758" s="5">
        <v>41.291378000000002</v>
      </c>
      <c r="E758" s="5">
        <v>36.310072900000002</v>
      </c>
      <c r="F758" s="2" t="s">
        <v>2775</v>
      </c>
      <c r="G758" s="2" t="s">
        <v>28</v>
      </c>
      <c r="H758" s="2" t="s">
        <v>29</v>
      </c>
      <c r="I758" s="2" t="s">
        <v>30</v>
      </c>
      <c r="J758" s="2" t="s">
        <v>2776</v>
      </c>
      <c r="K758" s="2" t="s">
        <v>22</v>
      </c>
      <c r="L758" s="2" t="s">
        <v>32</v>
      </c>
      <c r="M758" s="3">
        <v>1</v>
      </c>
      <c r="N758" s="3">
        <v>1</v>
      </c>
      <c r="O758" s="9" t="s">
        <v>24</v>
      </c>
      <c r="P758" s="3">
        <v>0</v>
      </c>
    </row>
    <row r="759" spans="1:16" x14ac:dyDescent="0.3">
      <c r="A759" s="2" t="s">
        <v>2777</v>
      </c>
      <c r="B759" s="2" t="s">
        <v>2778</v>
      </c>
      <c r="C759" s="2" t="s">
        <v>18</v>
      </c>
      <c r="D759" s="5">
        <v>41.318940699999999</v>
      </c>
      <c r="E759" s="5">
        <v>36.303301500000003</v>
      </c>
      <c r="F759" s="2" t="s">
        <v>1768</v>
      </c>
      <c r="G759" s="2" t="s">
        <v>28</v>
      </c>
      <c r="H759" s="2" t="s">
        <v>29</v>
      </c>
      <c r="I759" s="2" t="s">
        <v>30</v>
      </c>
      <c r="J759" s="2" t="s">
        <v>2779</v>
      </c>
      <c r="K759" s="2" t="s">
        <v>22</v>
      </c>
      <c r="L759" s="2" t="s">
        <v>23</v>
      </c>
      <c r="M759" s="3">
        <v>1</v>
      </c>
      <c r="N759" s="3">
        <v>1</v>
      </c>
      <c r="O759" s="9" t="s">
        <v>24</v>
      </c>
      <c r="P759" s="3">
        <v>0</v>
      </c>
    </row>
    <row r="760" spans="1:16" x14ac:dyDescent="0.3">
      <c r="A760" s="2" t="s">
        <v>2780</v>
      </c>
      <c r="B760" s="2" t="s">
        <v>2781</v>
      </c>
      <c r="C760" s="2" t="s">
        <v>18</v>
      </c>
      <c r="D760" s="5">
        <v>41.193884199999999</v>
      </c>
      <c r="E760" s="5">
        <v>36.723680199999997</v>
      </c>
      <c r="F760" s="2" t="s">
        <v>2782</v>
      </c>
      <c r="G760" s="2" t="s">
        <v>28</v>
      </c>
      <c r="H760" s="2" t="s">
        <v>29</v>
      </c>
      <c r="I760" s="2" t="s">
        <v>30</v>
      </c>
      <c r="J760" s="2" t="s">
        <v>2783</v>
      </c>
      <c r="K760" s="2" t="s">
        <v>22</v>
      </c>
      <c r="L760" s="2" t="s">
        <v>44</v>
      </c>
      <c r="M760" s="3">
        <v>1</v>
      </c>
      <c r="N760" s="3">
        <v>1</v>
      </c>
      <c r="O760" s="9" t="s">
        <v>24</v>
      </c>
      <c r="P760" s="3">
        <v>-5068.9799999999996</v>
      </c>
    </row>
    <row r="761" spans="1:16" x14ac:dyDescent="0.3">
      <c r="A761" s="2" t="s">
        <v>2784</v>
      </c>
      <c r="B761" s="2" t="s">
        <v>2785</v>
      </c>
      <c r="C761" s="2" t="s">
        <v>18</v>
      </c>
      <c r="D761" s="5">
        <v>41.571807200000002</v>
      </c>
      <c r="E761" s="5">
        <v>35.906687900000001</v>
      </c>
      <c r="F761" s="2" t="s">
        <v>2786</v>
      </c>
      <c r="G761" s="2" t="s">
        <v>28</v>
      </c>
      <c r="H761" s="2" t="s">
        <v>29</v>
      </c>
      <c r="I761" s="2" t="s">
        <v>30</v>
      </c>
      <c r="J761" s="2" t="s">
        <v>2787</v>
      </c>
      <c r="K761" s="2" t="s">
        <v>22</v>
      </c>
      <c r="L761" s="2" t="s">
        <v>53</v>
      </c>
      <c r="M761" s="3">
        <v>0</v>
      </c>
      <c r="N761" s="3">
        <v>0</v>
      </c>
      <c r="O761" s="9" t="s">
        <v>24</v>
      </c>
      <c r="P761" s="3">
        <v>0</v>
      </c>
    </row>
    <row r="762" spans="1:16" x14ac:dyDescent="0.3">
      <c r="A762" s="2" t="s">
        <v>2788</v>
      </c>
      <c r="B762" s="2" t="s">
        <v>2789</v>
      </c>
      <c r="C762" s="2" t="s">
        <v>18</v>
      </c>
      <c r="D762" s="5">
        <v>0</v>
      </c>
      <c r="E762" s="5">
        <v>0</v>
      </c>
      <c r="F762" s="2" t="s">
        <v>1768</v>
      </c>
      <c r="G762" s="2" t="s">
        <v>221</v>
      </c>
      <c r="H762" s="2" t="s">
        <v>1049</v>
      </c>
      <c r="I762" s="2" t="s">
        <v>1049</v>
      </c>
      <c r="J762" s="2" t="s">
        <v>2790</v>
      </c>
      <c r="K762" s="2" t="s">
        <v>22</v>
      </c>
      <c r="L762" s="2" t="s">
        <v>99</v>
      </c>
      <c r="M762" s="3">
        <v>0</v>
      </c>
      <c r="N762" s="3">
        <v>0</v>
      </c>
      <c r="O762" s="9" t="s">
        <v>24</v>
      </c>
      <c r="P762" s="3">
        <v>0</v>
      </c>
    </row>
    <row r="763" spans="1:16" x14ac:dyDescent="0.3">
      <c r="A763" s="2" t="s">
        <v>2791</v>
      </c>
      <c r="B763" s="2" t="s">
        <v>2792</v>
      </c>
      <c r="C763" s="2" t="s">
        <v>18</v>
      </c>
      <c r="D763" s="5">
        <v>41.4006167</v>
      </c>
      <c r="E763" s="5">
        <v>36.190826700000002</v>
      </c>
      <c r="F763" s="2" t="s">
        <v>1768</v>
      </c>
      <c r="G763" s="2" t="s">
        <v>221</v>
      </c>
      <c r="H763" s="2" t="s">
        <v>1049</v>
      </c>
      <c r="I763" s="2" t="s">
        <v>1049</v>
      </c>
      <c r="J763" s="2" t="s">
        <v>2793</v>
      </c>
      <c r="K763" s="2" t="s">
        <v>22</v>
      </c>
      <c r="L763" s="2" t="s">
        <v>32</v>
      </c>
      <c r="M763" s="3">
        <v>1</v>
      </c>
      <c r="N763" s="3">
        <v>1</v>
      </c>
      <c r="O763" s="9" t="s">
        <v>24</v>
      </c>
      <c r="P763" s="3">
        <v>0</v>
      </c>
    </row>
    <row r="764" spans="1:16" x14ac:dyDescent="0.3">
      <c r="A764" s="2" t="s">
        <v>2794</v>
      </c>
      <c r="B764" s="2" t="s">
        <v>2795</v>
      </c>
      <c r="C764" s="2" t="s">
        <v>18</v>
      </c>
      <c r="D764" s="5">
        <v>41.143169899999997</v>
      </c>
      <c r="E764" s="5">
        <v>37.267142900000003</v>
      </c>
      <c r="F764" s="2" t="s">
        <v>2796</v>
      </c>
      <c r="G764" s="2" t="s">
        <v>221</v>
      </c>
      <c r="H764" s="2" t="s">
        <v>1049</v>
      </c>
      <c r="I764" s="2" t="s">
        <v>1049</v>
      </c>
      <c r="J764" s="2" t="s">
        <v>2797</v>
      </c>
      <c r="K764" s="2" t="s">
        <v>63</v>
      </c>
      <c r="L764" s="2" t="s">
        <v>89</v>
      </c>
      <c r="M764" s="3">
        <v>3</v>
      </c>
      <c r="N764" s="3">
        <v>1</v>
      </c>
      <c r="O764" s="9" t="s">
        <v>24</v>
      </c>
      <c r="P764" s="3">
        <v>24721.09</v>
      </c>
    </row>
    <row r="765" spans="1:16" x14ac:dyDescent="0.3">
      <c r="A765" s="2" t="s">
        <v>2798</v>
      </c>
      <c r="B765" s="2" t="s">
        <v>2799</v>
      </c>
      <c r="C765" s="2" t="s">
        <v>18</v>
      </c>
      <c r="D765" s="5">
        <v>41.125848499999996</v>
      </c>
      <c r="E765" s="5">
        <v>37.288092599999999</v>
      </c>
      <c r="F765" s="2" t="s">
        <v>2800</v>
      </c>
      <c r="G765" s="2" t="s">
        <v>221</v>
      </c>
      <c r="H765" s="2" t="s">
        <v>1049</v>
      </c>
      <c r="I765" s="2" t="s">
        <v>1049</v>
      </c>
      <c r="J765" s="2" t="s">
        <v>2365</v>
      </c>
      <c r="K765" s="2" t="s">
        <v>63</v>
      </c>
      <c r="L765" s="2" t="s">
        <v>89</v>
      </c>
      <c r="M765" s="3">
        <v>5</v>
      </c>
      <c r="N765" s="3">
        <v>1</v>
      </c>
      <c r="O765" s="9" t="s">
        <v>24</v>
      </c>
      <c r="P765" s="3">
        <v>16540.34</v>
      </c>
    </row>
    <row r="766" spans="1:16" x14ac:dyDescent="0.3">
      <c r="A766" s="2" t="s">
        <v>2801</v>
      </c>
      <c r="B766" s="2" t="s">
        <v>2802</v>
      </c>
      <c r="C766" s="2" t="s">
        <v>18</v>
      </c>
      <c r="D766" s="5">
        <v>41.570333400000003</v>
      </c>
      <c r="E766" s="5">
        <v>35.895494900000003</v>
      </c>
      <c r="F766" s="2" t="s">
        <v>2803</v>
      </c>
      <c r="G766" s="2" t="s">
        <v>28</v>
      </c>
      <c r="H766" s="2" t="s">
        <v>29</v>
      </c>
      <c r="I766" s="2" t="s">
        <v>30</v>
      </c>
      <c r="J766" s="2" t="s">
        <v>2804</v>
      </c>
      <c r="K766" s="2" t="s">
        <v>22</v>
      </c>
      <c r="L766" s="2" t="s">
        <v>53</v>
      </c>
      <c r="M766" s="3">
        <v>1</v>
      </c>
      <c r="N766" s="3">
        <v>1</v>
      </c>
      <c r="O766" s="9" t="s">
        <v>24</v>
      </c>
      <c r="P766" s="3">
        <v>5361.55</v>
      </c>
    </row>
    <row r="767" spans="1:16" x14ac:dyDescent="0.3">
      <c r="A767" s="2" t="s">
        <v>2805</v>
      </c>
      <c r="B767" s="2" t="s">
        <v>2806</v>
      </c>
      <c r="C767" s="2" t="s">
        <v>18</v>
      </c>
      <c r="D767" s="5">
        <v>41.567728299999999</v>
      </c>
      <c r="E767" s="5">
        <v>35.885530299999999</v>
      </c>
      <c r="F767" s="2" t="s">
        <v>2807</v>
      </c>
      <c r="G767" s="2" t="s">
        <v>221</v>
      </c>
      <c r="H767" s="2" t="s">
        <v>1049</v>
      </c>
      <c r="I767" s="2" t="s">
        <v>1049</v>
      </c>
      <c r="J767" s="2" t="s">
        <v>2808</v>
      </c>
      <c r="K767" s="2" t="s">
        <v>22</v>
      </c>
      <c r="L767" s="2" t="s">
        <v>53</v>
      </c>
      <c r="M767" s="3">
        <v>0</v>
      </c>
      <c r="N767" s="3">
        <v>1</v>
      </c>
      <c r="O767" s="9" t="s">
        <v>24</v>
      </c>
      <c r="P767" s="3">
        <v>-1265.17</v>
      </c>
    </row>
    <row r="768" spans="1:16" x14ac:dyDescent="0.3">
      <c r="A768" s="2" t="s">
        <v>2809</v>
      </c>
      <c r="B768" s="2" t="s">
        <v>2810</v>
      </c>
      <c r="C768" s="2" t="s">
        <v>18</v>
      </c>
      <c r="D768" s="5">
        <v>41.145764999999997</v>
      </c>
      <c r="E768" s="5">
        <v>35.472623300000002</v>
      </c>
      <c r="F768" s="2" t="s">
        <v>54</v>
      </c>
      <c r="G768" s="2" t="s">
        <v>259</v>
      </c>
      <c r="H768" s="2" t="s">
        <v>260</v>
      </c>
      <c r="I768" s="2" t="s">
        <v>260</v>
      </c>
      <c r="J768" s="2" t="s">
        <v>2811</v>
      </c>
      <c r="K768" s="2" t="s">
        <v>22</v>
      </c>
      <c r="L768" s="2" t="s">
        <v>164</v>
      </c>
      <c r="M768" s="3">
        <v>1</v>
      </c>
      <c r="N768" s="3">
        <v>1</v>
      </c>
      <c r="O768" s="9" t="s">
        <v>24</v>
      </c>
      <c r="P768" s="3">
        <v>0</v>
      </c>
    </row>
    <row r="769" spans="1:16" x14ac:dyDescent="0.3">
      <c r="A769" s="2" t="s">
        <v>2812</v>
      </c>
      <c r="B769" s="2" t="s">
        <v>2813</v>
      </c>
      <c r="C769" s="2" t="s">
        <v>18</v>
      </c>
      <c r="D769" s="5">
        <v>41.356438300000001</v>
      </c>
      <c r="E769" s="5">
        <v>36.214860000000002</v>
      </c>
      <c r="F769" s="2" t="s">
        <v>54</v>
      </c>
      <c r="G769" s="2" t="s">
        <v>259</v>
      </c>
      <c r="H769" s="2" t="s">
        <v>260</v>
      </c>
      <c r="I769" s="2" t="s">
        <v>260</v>
      </c>
      <c r="J769" s="2" t="s">
        <v>2814</v>
      </c>
      <c r="K769" s="2" t="s">
        <v>22</v>
      </c>
      <c r="L769" s="2" t="s">
        <v>23</v>
      </c>
      <c r="M769" s="3">
        <v>1</v>
      </c>
      <c r="N769" s="3">
        <v>1</v>
      </c>
      <c r="O769" s="9" t="s">
        <v>24</v>
      </c>
      <c r="P769" s="3">
        <v>0</v>
      </c>
    </row>
    <row r="770" spans="1:16" x14ac:dyDescent="0.3">
      <c r="A770" s="2" t="s">
        <v>2815</v>
      </c>
      <c r="B770" s="2" t="s">
        <v>2816</v>
      </c>
      <c r="C770" s="2" t="s">
        <v>18</v>
      </c>
      <c r="D770" s="5">
        <v>41.354752099999999</v>
      </c>
      <c r="E770" s="5">
        <v>36.237052200000001</v>
      </c>
      <c r="F770" s="2" t="s">
        <v>1768</v>
      </c>
      <c r="G770" s="2" t="s">
        <v>221</v>
      </c>
      <c r="H770" s="2" t="s">
        <v>918</v>
      </c>
      <c r="I770" s="2" t="s">
        <v>918</v>
      </c>
      <c r="J770" s="2" t="s">
        <v>2817</v>
      </c>
      <c r="K770" s="2" t="s">
        <v>22</v>
      </c>
      <c r="L770" s="2" t="s">
        <v>23</v>
      </c>
      <c r="M770" s="3">
        <v>0</v>
      </c>
      <c r="N770" s="3">
        <v>1</v>
      </c>
      <c r="O770" s="9" t="s">
        <v>24</v>
      </c>
      <c r="P770" s="3">
        <v>-0.03</v>
      </c>
    </row>
    <row r="771" spans="1:16" x14ac:dyDescent="0.3">
      <c r="A771" s="2" t="s">
        <v>2818</v>
      </c>
      <c r="B771" s="2" t="s">
        <v>2819</v>
      </c>
      <c r="C771" s="2" t="s">
        <v>18</v>
      </c>
      <c r="D771" s="5">
        <v>41.267748300000001</v>
      </c>
      <c r="E771" s="5">
        <v>36.309691700000002</v>
      </c>
      <c r="F771" s="2" t="s">
        <v>2820</v>
      </c>
      <c r="G771" s="2" t="s">
        <v>28</v>
      </c>
      <c r="H771" s="2" t="s">
        <v>29</v>
      </c>
      <c r="I771" s="2" t="s">
        <v>30</v>
      </c>
      <c r="J771" s="2" t="s">
        <v>2821</v>
      </c>
      <c r="K771" s="2" t="s">
        <v>22</v>
      </c>
      <c r="L771" s="2" t="s">
        <v>32</v>
      </c>
      <c r="M771" s="3">
        <v>1</v>
      </c>
      <c r="N771" s="3">
        <v>1</v>
      </c>
      <c r="O771" s="9" t="s">
        <v>24</v>
      </c>
      <c r="P771" s="3">
        <v>2642.01</v>
      </c>
    </row>
    <row r="772" spans="1:16" x14ac:dyDescent="0.3">
      <c r="A772" s="2" t="s">
        <v>2822</v>
      </c>
      <c r="B772" s="2" t="s">
        <v>2823</v>
      </c>
      <c r="C772" s="2" t="s">
        <v>18</v>
      </c>
      <c r="D772" s="5">
        <v>41.270424400000003</v>
      </c>
      <c r="E772" s="5">
        <v>36.321695099999999</v>
      </c>
      <c r="F772" s="2" t="s">
        <v>760</v>
      </c>
      <c r="G772" s="2" t="s">
        <v>28</v>
      </c>
      <c r="H772" s="2" t="s">
        <v>29</v>
      </c>
      <c r="I772" s="2" t="s">
        <v>30</v>
      </c>
      <c r="J772" s="2" t="s">
        <v>2824</v>
      </c>
      <c r="K772" s="2" t="s">
        <v>22</v>
      </c>
      <c r="L772" s="2" t="s">
        <v>32</v>
      </c>
      <c r="M772" s="3">
        <v>1</v>
      </c>
      <c r="N772" s="3">
        <v>1</v>
      </c>
      <c r="O772" s="9" t="s">
        <v>24</v>
      </c>
      <c r="P772" s="3">
        <v>-67.87</v>
      </c>
    </row>
    <row r="773" spans="1:16" x14ac:dyDescent="0.3">
      <c r="A773" s="2" t="s">
        <v>2825</v>
      </c>
      <c r="B773" s="2" t="s">
        <v>2826</v>
      </c>
      <c r="C773" s="2" t="s">
        <v>18</v>
      </c>
      <c r="D773" s="5">
        <v>41.2588285</v>
      </c>
      <c r="E773" s="5">
        <v>36.367970499999998</v>
      </c>
      <c r="F773" s="2" t="s">
        <v>2827</v>
      </c>
      <c r="G773" s="2" t="s">
        <v>28</v>
      </c>
      <c r="H773" s="2" t="s">
        <v>29</v>
      </c>
      <c r="I773" s="2" t="s">
        <v>30</v>
      </c>
      <c r="J773" s="2" t="s">
        <v>2828</v>
      </c>
      <c r="K773" s="2" t="s">
        <v>22</v>
      </c>
      <c r="L773" s="2" t="s">
        <v>99</v>
      </c>
      <c r="M773" s="3">
        <v>1</v>
      </c>
      <c r="N773" s="3">
        <v>1</v>
      </c>
      <c r="O773" s="9" t="s">
        <v>24</v>
      </c>
      <c r="P773" s="3">
        <v>-1031.07</v>
      </c>
    </row>
    <row r="774" spans="1:16" x14ac:dyDescent="0.3">
      <c r="A774" s="2" t="s">
        <v>2829</v>
      </c>
      <c r="B774" s="2" t="s">
        <v>2830</v>
      </c>
      <c r="C774" s="2" t="s">
        <v>18</v>
      </c>
      <c r="D774" s="5">
        <v>41.565784200000003</v>
      </c>
      <c r="E774" s="5">
        <v>35.899437599999999</v>
      </c>
      <c r="F774" s="2" t="s">
        <v>2831</v>
      </c>
      <c r="G774" s="2" t="s">
        <v>221</v>
      </c>
      <c r="H774" s="2" t="s">
        <v>1049</v>
      </c>
      <c r="I774" s="2" t="s">
        <v>1049</v>
      </c>
      <c r="J774" s="2" t="s">
        <v>2832</v>
      </c>
      <c r="K774" s="2" t="s">
        <v>22</v>
      </c>
      <c r="L774" s="2" t="s">
        <v>53</v>
      </c>
      <c r="M774" s="3">
        <v>1</v>
      </c>
      <c r="N774" s="3">
        <v>1</v>
      </c>
      <c r="O774" s="9" t="s">
        <v>24</v>
      </c>
      <c r="P774" s="3">
        <v>0</v>
      </c>
    </row>
    <row r="775" spans="1:16" x14ac:dyDescent="0.3">
      <c r="A775" s="2" t="s">
        <v>2833</v>
      </c>
      <c r="B775" s="2" t="s">
        <v>2834</v>
      </c>
      <c r="C775" s="2" t="s">
        <v>18</v>
      </c>
      <c r="D775" s="5">
        <v>41.555409599999997</v>
      </c>
      <c r="E775" s="5">
        <v>35.912847599999999</v>
      </c>
      <c r="F775" s="2" t="s">
        <v>2835</v>
      </c>
      <c r="G775" s="2" t="s">
        <v>28</v>
      </c>
      <c r="H775" s="2" t="s">
        <v>29</v>
      </c>
      <c r="I775" s="2" t="s">
        <v>30</v>
      </c>
      <c r="J775" s="2" t="s">
        <v>2836</v>
      </c>
      <c r="K775" s="2" t="s">
        <v>22</v>
      </c>
      <c r="L775" s="2" t="s">
        <v>53</v>
      </c>
      <c r="M775" s="3">
        <v>1</v>
      </c>
      <c r="N775" s="3">
        <v>1</v>
      </c>
      <c r="O775" s="9" t="s">
        <v>24</v>
      </c>
      <c r="P775" s="3">
        <v>-1168.42</v>
      </c>
    </row>
    <row r="776" spans="1:16" x14ac:dyDescent="0.3">
      <c r="A776" s="2" t="s">
        <v>2837</v>
      </c>
      <c r="B776" s="2" t="s">
        <v>2838</v>
      </c>
      <c r="C776" s="2" t="s">
        <v>18</v>
      </c>
      <c r="D776" s="5">
        <v>0</v>
      </c>
      <c r="E776" s="5">
        <v>0</v>
      </c>
      <c r="F776" s="2" t="s">
        <v>2839</v>
      </c>
      <c r="G776" s="2" t="s">
        <v>221</v>
      </c>
      <c r="H776" s="2" t="s">
        <v>1049</v>
      </c>
      <c r="I776" s="2" t="s">
        <v>1049</v>
      </c>
      <c r="J776" s="2" t="s">
        <v>2840</v>
      </c>
      <c r="K776" s="2" t="s">
        <v>22</v>
      </c>
      <c r="L776" s="2" t="s">
        <v>53</v>
      </c>
      <c r="M776" s="3">
        <v>0</v>
      </c>
      <c r="N776" s="3">
        <v>0</v>
      </c>
      <c r="O776" s="9" t="s">
        <v>24</v>
      </c>
      <c r="P776" s="3">
        <v>0</v>
      </c>
    </row>
    <row r="777" spans="1:16" x14ac:dyDescent="0.3">
      <c r="A777" s="2" t="s">
        <v>2841</v>
      </c>
      <c r="B777" s="2" t="s">
        <v>2842</v>
      </c>
      <c r="C777" s="2" t="s">
        <v>18</v>
      </c>
      <c r="D777" s="5">
        <v>41.560383700000003</v>
      </c>
      <c r="E777" s="5">
        <v>35.864170600000001</v>
      </c>
      <c r="F777" s="2" t="s">
        <v>2843</v>
      </c>
      <c r="G777" s="2" t="s">
        <v>28</v>
      </c>
      <c r="H777" s="2" t="s">
        <v>29</v>
      </c>
      <c r="I777" s="2" t="s">
        <v>30</v>
      </c>
      <c r="J777" s="2" t="s">
        <v>2844</v>
      </c>
      <c r="K777" s="2" t="s">
        <v>22</v>
      </c>
      <c r="L777" s="2" t="s">
        <v>53</v>
      </c>
      <c r="M777" s="3">
        <v>0</v>
      </c>
      <c r="N777" s="3">
        <v>0</v>
      </c>
      <c r="O777" s="9" t="s">
        <v>24</v>
      </c>
      <c r="P777" s="3">
        <v>-676.66</v>
      </c>
    </row>
    <row r="778" spans="1:16" x14ac:dyDescent="0.3">
      <c r="A778" s="2" t="s">
        <v>2845</v>
      </c>
      <c r="B778" s="2" t="s">
        <v>2846</v>
      </c>
      <c r="C778" s="2" t="s">
        <v>18</v>
      </c>
      <c r="D778" s="5">
        <v>41.569316700000002</v>
      </c>
      <c r="E778" s="5">
        <v>35.915379999999999</v>
      </c>
      <c r="F778" s="2" t="s">
        <v>2847</v>
      </c>
      <c r="G778" s="2" t="s">
        <v>28</v>
      </c>
      <c r="H778" s="2" t="s">
        <v>29</v>
      </c>
      <c r="I778" s="2" t="s">
        <v>30</v>
      </c>
      <c r="J778" s="2" t="s">
        <v>2848</v>
      </c>
      <c r="K778" s="2" t="s">
        <v>22</v>
      </c>
      <c r="L778" s="2" t="s">
        <v>53</v>
      </c>
      <c r="M778" s="3">
        <v>1</v>
      </c>
      <c r="N778" s="3">
        <v>1</v>
      </c>
      <c r="O778" s="9" t="s">
        <v>24</v>
      </c>
      <c r="P778" s="3">
        <v>-795.9</v>
      </c>
    </row>
    <row r="779" spans="1:16" x14ac:dyDescent="0.3">
      <c r="A779" s="2" t="s">
        <v>2849</v>
      </c>
      <c r="B779" s="2" t="s">
        <v>2850</v>
      </c>
      <c r="C779" s="2" t="s">
        <v>18</v>
      </c>
      <c r="D779" s="5">
        <v>0</v>
      </c>
      <c r="E779" s="5">
        <v>0</v>
      </c>
      <c r="F779" s="2" t="s">
        <v>2851</v>
      </c>
      <c r="G779" s="2" t="s">
        <v>28</v>
      </c>
      <c r="H779" s="2" t="s">
        <v>29</v>
      </c>
      <c r="I779" s="2" t="s">
        <v>30</v>
      </c>
      <c r="J779" s="2" t="s">
        <v>2852</v>
      </c>
      <c r="K779" s="2" t="s">
        <v>22</v>
      </c>
      <c r="L779" s="2" t="s">
        <v>23</v>
      </c>
      <c r="M779" s="3">
        <v>0</v>
      </c>
      <c r="N779" s="3">
        <v>0</v>
      </c>
      <c r="O779" s="9" t="s">
        <v>24</v>
      </c>
      <c r="P779" s="3">
        <v>0</v>
      </c>
    </row>
    <row r="780" spans="1:16" x14ac:dyDescent="0.3">
      <c r="A780" s="2" t="s">
        <v>2853</v>
      </c>
      <c r="B780" s="2" t="s">
        <v>2854</v>
      </c>
      <c r="C780" s="2" t="s">
        <v>18</v>
      </c>
      <c r="D780" s="5">
        <v>41.129704199999999</v>
      </c>
      <c r="E780" s="5">
        <v>37.2811369</v>
      </c>
      <c r="F780" s="2" t="s">
        <v>2855</v>
      </c>
      <c r="G780" s="2" t="s">
        <v>28</v>
      </c>
      <c r="H780" s="2" t="s">
        <v>29</v>
      </c>
      <c r="I780" s="2" t="s">
        <v>30</v>
      </c>
      <c r="J780" s="2" t="s">
        <v>2856</v>
      </c>
      <c r="K780" s="2" t="s">
        <v>63</v>
      </c>
      <c r="L780" s="2" t="s">
        <v>89</v>
      </c>
      <c r="M780" s="3">
        <v>1</v>
      </c>
      <c r="N780" s="3">
        <v>1</v>
      </c>
      <c r="O780" s="9" t="s">
        <v>54</v>
      </c>
      <c r="P780" s="3">
        <v>0</v>
      </c>
    </row>
    <row r="781" spans="1:16" x14ac:dyDescent="0.3">
      <c r="A781" s="2" t="s">
        <v>2857</v>
      </c>
      <c r="B781" s="2" t="s">
        <v>2858</v>
      </c>
      <c r="C781" s="2" t="s">
        <v>18</v>
      </c>
      <c r="D781" s="5">
        <v>0</v>
      </c>
      <c r="E781" s="5">
        <v>0</v>
      </c>
      <c r="F781" s="2" t="s">
        <v>2859</v>
      </c>
      <c r="G781" s="2" t="s">
        <v>28</v>
      </c>
      <c r="H781" s="2" t="s">
        <v>29</v>
      </c>
      <c r="I781" s="2" t="s">
        <v>30</v>
      </c>
      <c r="J781" s="2" t="s">
        <v>2860</v>
      </c>
      <c r="K781" s="2" t="s">
        <v>63</v>
      </c>
      <c r="L781" s="2" t="s">
        <v>89</v>
      </c>
      <c r="M781" s="3">
        <v>0</v>
      </c>
      <c r="N781" s="3">
        <v>0</v>
      </c>
      <c r="O781" s="9" t="s">
        <v>24</v>
      </c>
      <c r="P781" s="3">
        <v>0</v>
      </c>
    </row>
    <row r="782" spans="1:16" x14ac:dyDescent="0.3">
      <c r="A782" s="2" t="s">
        <v>2861</v>
      </c>
      <c r="B782" s="2" t="s">
        <v>2862</v>
      </c>
      <c r="C782" s="2" t="s">
        <v>18</v>
      </c>
      <c r="D782" s="5">
        <v>0</v>
      </c>
      <c r="E782" s="5">
        <v>0</v>
      </c>
      <c r="F782" s="2" t="s">
        <v>2863</v>
      </c>
      <c r="G782" s="2" t="s">
        <v>28</v>
      </c>
      <c r="H782" s="2" t="s">
        <v>29</v>
      </c>
      <c r="I782" s="2" t="s">
        <v>30</v>
      </c>
      <c r="J782" s="2" t="s">
        <v>2864</v>
      </c>
      <c r="K782" s="2" t="s">
        <v>63</v>
      </c>
      <c r="L782" s="2" t="s">
        <v>89</v>
      </c>
      <c r="M782" s="3">
        <v>0</v>
      </c>
      <c r="N782" s="3">
        <v>0</v>
      </c>
      <c r="O782" s="9" t="s">
        <v>24</v>
      </c>
      <c r="P782" s="3">
        <v>0</v>
      </c>
    </row>
    <row r="783" spans="1:16" x14ac:dyDescent="0.3">
      <c r="A783" s="2" t="s">
        <v>2865</v>
      </c>
      <c r="B783" s="2" t="s">
        <v>2866</v>
      </c>
      <c r="C783" s="2" t="s">
        <v>18</v>
      </c>
      <c r="D783" s="5">
        <v>0</v>
      </c>
      <c r="E783" s="5">
        <v>0</v>
      </c>
      <c r="F783" s="2" t="s">
        <v>2867</v>
      </c>
      <c r="G783" s="2" t="s">
        <v>28</v>
      </c>
      <c r="H783" s="2" t="s">
        <v>29</v>
      </c>
      <c r="I783" s="2" t="s">
        <v>30</v>
      </c>
      <c r="J783" s="2" t="s">
        <v>2868</v>
      </c>
      <c r="K783" s="2" t="s">
        <v>63</v>
      </c>
      <c r="L783" s="2" t="s">
        <v>89</v>
      </c>
      <c r="M783" s="3">
        <v>0</v>
      </c>
      <c r="N783" s="3">
        <v>0</v>
      </c>
      <c r="O783" s="9" t="s">
        <v>24</v>
      </c>
      <c r="P783" s="3">
        <v>0</v>
      </c>
    </row>
    <row r="784" spans="1:16" x14ac:dyDescent="0.3">
      <c r="A784" s="2" t="s">
        <v>2869</v>
      </c>
      <c r="B784" s="2" t="s">
        <v>2870</v>
      </c>
      <c r="C784" s="2" t="s">
        <v>18</v>
      </c>
      <c r="D784" s="5">
        <v>40.945197499999999</v>
      </c>
      <c r="E784" s="5">
        <v>37.004110300000001</v>
      </c>
      <c r="F784" s="2" t="s">
        <v>2871</v>
      </c>
      <c r="G784" s="2" t="s">
        <v>28</v>
      </c>
      <c r="H784" s="2" t="s">
        <v>29</v>
      </c>
      <c r="I784" s="2" t="s">
        <v>30</v>
      </c>
      <c r="J784" s="2" t="s">
        <v>2872</v>
      </c>
      <c r="K784" s="2" t="s">
        <v>63</v>
      </c>
      <c r="L784" s="2" t="s">
        <v>2873</v>
      </c>
      <c r="M784" s="3">
        <v>2</v>
      </c>
      <c r="N784" s="3">
        <v>1</v>
      </c>
      <c r="O784" s="9" t="s">
        <v>24</v>
      </c>
      <c r="P784" s="3">
        <v>-1556.94</v>
      </c>
    </row>
    <row r="785" spans="1:16" x14ac:dyDescent="0.3">
      <c r="A785" s="2" t="s">
        <v>2874</v>
      </c>
      <c r="B785" s="2" t="s">
        <v>2875</v>
      </c>
      <c r="C785" s="2" t="s">
        <v>18</v>
      </c>
      <c r="D785" s="5">
        <v>40.947104000000003</v>
      </c>
      <c r="E785" s="5">
        <v>37.210523299999998</v>
      </c>
      <c r="F785" s="2" t="s">
        <v>2876</v>
      </c>
      <c r="G785" s="2" t="s">
        <v>28</v>
      </c>
      <c r="H785" s="2" t="s">
        <v>29</v>
      </c>
      <c r="I785" s="2" t="s">
        <v>30</v>
      </c>
      <c r="J785" s="2" t="s">
        <v>2877</v>
      </c>
      <c r="K785" s="2" t="s">
        <v>63</v>
      </c>
      <c r="L785" s="2" t="s">
        <v>89</v>
      </c>
      <c r="M785" s="3">
        <v>1</v>
      </c>
      <c r="N785" s="3">
        <v>1</v>
      </c>
      <c r="O785" s="9" t="s">
        <v>24</v>
      </c>
      <c r="P785" s="3">
        <v>-988.17</v>
      </c>
    </row>
    <row r="786" spans="1:16" x14ac:dyDescent="0.3">
      <c r="A786" s="2" t="s">
        <v>2878</v>
      </c>
      <c r="B786" s="2" t="s">
        <v>2879</v>
      </c>
      <c r="C786" s="2" t="s">
        <v>18</v>
      </c>
      <c r="D786" s="5">
        <v>41.235526999999998</v>
      </c>
      <c r="E786" s="5">
        <v>36.574954099999999</v>
      </c>
      <c r="F786" s="2" t="s">
        <v>2763</v>
      </c>
      <c r="G786" s="2" t="s">
        <v>28</v>
      </c>
      <c r="H786" s="2" t="s">
        <v>29</v>
      </c>
      <c r="I786" s="2" t="s">
        <v>30</v>
      </c>
      <c r="J786" s="2" t="s">
        <v>2764</v>
      </c>
      <c r="K786" s="2" t="s">
        <v>22</v>
      </c>
      <c r="L786" s="2" t="s">
        <v>44</v>
      </c>
      <c r="M786" s="3">
        <v>2</v>
      </c>
      <c r="N786" s="3">
        <v>1</v>
      </c>
      <c r="O786" s="9" t="s">
        <v>24</v>
      </c>
      <c r="P786" s="3">
        <v>-1130.19</v>
      </c>
    </row>
    <row r="787" spans="1:16" x14ac:dyDescent="0.3">
      <c r="A787" s="2" t="s">
        <v>2880</v>
      </c>
      <c r="B787" s="2" t="s">
        <v>2881</v>
      </c>
      <c r="C787" s="2" t="s">
        <v>18</v>
      </c>
      <c r="D787" s="5">
        <v>41.218294999999998</v>
      </c>
      <c r="E787" s="5">
        <v>36.612677599999998</v>
      </c>
      <c r="F787" s="2" t="s">
        <v>2882</v>
      </c>
      <c r="G787" s="2" t="s">
        <v>28</v>
      </c>
      <c r="H787" s="2" t="s">
        <v>29</v>
      </c>
      <c r="I787" s="2" t="s">
        <v>30</v>
      </c>
      <c r="J787" s="2" t="s">
        <v>2883</v>
      </c>
      <c r="K787" s="2" t="s">
        <v>22</v>
      </c>
      <c r="L787" s="2" t="s">
        <v>44</v>
      </c>
      <c r="M787" s="3">
        <v>0</v>
      </c>
      <c r="N787" s="3">
        <v>0</v>
      </c>
      <c r="O787" s="9" t="s">
        <v>24</v>
      </c>
      <c r="P787" s="3">
        <v>0</v>
      </c>
    </row>
    <row r="788" spans="1:16" x14ac:dyDescent="0.3">
      <c r="A788" s="2" t="s">
        <v>2884</v>
      </c>
      <c r="B788" s="2" t="s">
        <v>2885</v>
      </c>
      <c r="C788" s="2" t="s">
        <v>18</v>
      </c>
      <c r="D788" s="5">
        <v>41.258262199999997</v>
      </c>
      <c r="E788" s="5">
        <v>36.345269600000002</v>
      </c>
      <c r="F788" s="2" t="s">
        <v>2886</v>
      </c>
      <c r="G788" s="2" t="s">
        <v>28</v>
      </c>
      <c r="H788" s="2" t="s">
        <v>29</v>
      </c>
      <c r="I788" s="2" t="s">
        <v>30</v>
      </c>
      <c r="J788" s="2" t="s">
        <v>2887</v>
      </c>
      <c r="K788" s="2" t="s">
        <v>22</v>
      </c>
      <c r="L788" s="2" t="s">
        <v>99</v>
      </c>
      <c r="M788" s="3">
        <v>0</v>
      </c>
      <c r="N788" s="3">
        <v>1</v>
      </c>
      <c r="O788" s="9" t="s">
        <v>54</v>
      </c>
      <c r="P788" s="3">
        <v>0</v>
      </c>
    </row>
    <row r="789" spans="1:16" x14ac:dyDescent="0.3">
      <c r="A789" s="2" t="s">
        <v>2888</v>
      </c>
      <c r="B789" s="2" t="s">
        <v>2889</v>
      </c>
      <c r="C789" s="2" t="s">
        <v>18</v>
      </c>
      <c r="D789" s="5">
        <v>41.1373447</v>
      </c>
      <c r="E789" s="5">
        <v>37.288117800000002</v>
      </c>
      <c r="F789" s="2" t="s">
        <v>1025</v>
      </c>
      <c r="G789" s="2" t="s">
        <v>28</v>
      </c>
      <c r="H789" s="2" t="s">
        <v>29</v>
      </c>
      <c r="I789" s="2" t="s">
        <v>30</v>
      </c>
      <c r="J789" s="2" t="s">
        <v>2890</v>
      </c>
      <c r="K789" s="2" t="s">
        <v>63</v>
      </c>
      <c r="L789" s="2" t="s">
        <v>89</v>
      </c>
      <c r="M789" s="3">
        <v>3</v>
      </c>
      <c r="N789" s="3">
        <v>1</v>
      </c>
      <c r="O789" s="9" t="s">
        <v>24</v>
      </c>
      <c r="P789" s="3">
        <v>-0.18</v>
      </c>
    </row>
    <row r="790" spans="1:16" x14ac:dyDescent="0.3">
      <c r="A790" s="2" t="s">
        <v>2891</v>
      </c>
      <c r="B790" s="2" t="s">
        <v>2892</v>
      </c>
      <c r="C790" s="2" t="s">
        <v>18</v>
      </c>
      <c r="D790" s="5">
        <v>42.026737199999999</v>
      </c>
      <c r="E790" s="5">
        <v>35.1544898</v>
      </c>
      <c r="F790" s="2" t="s">
        <v>2893</v>
      </c>
      <c r="G790" s="2" t="s">
        <v>28</v>
      </c>
      <c r="H790" s="2" t="s">
        <v>29</v>
      </c>
      <c r="I790" s="2" t="s">
        <v>30</v>
      </c>
      <c r="J790" s="2" t="s">
        <v>2894</v>
      </c>
      <c r="K790" s="2" t="s">
        <v>154</v>
      </c>
      <c r="L790" s="2" t="s">
        <v>155</v>
      </c>
      <c r="M790" s="3">
        <v>1</v>
      </c>
      <c r="N790" s="3">
        <v>1</v>
      </c>
      <c r="O790" s="9" t="s">
        <v>54</v>
      </c>
      <c r="P790" s="3">
        <v>0</v>
      </c>
    </row>
    <row r="791" spans="1:16" x14ac:dyDescent="0.3">
      <c r="A791" s="2" t="s">
        <v>2895</v>
      </c>
      <c r="B791" s="2" t="s">
        <v>2896</v>
      </c>
      <c r="C791" s="2" t="s">
        <v>18</v>
      </c>
      <c r="D791" s="5">
        <v>41.218383299999999</v>
      </c>
      <c r="E791" s="5">
        <v>36.6152467</v>
      </c>
      <c r="F791" s="2" t="s">
        <v>2897</v>
      </c>
      <c r="G791" s="2" t="s">
        <v>28</v>
      </c>
      <c r="H791" s="2" t="s">
        <v>29</v>
      </c>
      <c r="I791" s="2" t="s">
        <v>30</v>
      </c>
      <c r="J791" s="2" t="s">
        <v>2898</v>
      </c>
      <c r="K791" s="2" t="s">
        <v>22</v>
      </c>
      <c r="L791" s="2" t="s">
        <v>44</v>
      </c>
      <c r="M791" s="3">
        <v>0</v>
      </c>
      <c r="N791" s="3">
        <v>1</v>
      </c>
      <c r="O791" s="9" t="s">
        <v>24</v>
      </c>
      <c r="P791" s="3">
        <v>-1.7</v>
      </c>
    </row>
    <row r="792" spans="1:16" x14ac:dyDescent="0.3">
      <c r="A792" s="2" t="s">
        <v>2899</v>
      </c>
      <c r="B792" s="2" t="s">
        <v>2900</v>
      </c>
      <c r="C792" s="2" t="s">
        <v>18</v>
      </c>
      <c r="D792" s="5">
        <v>41.303710899999999</v>
      </c>
      <c r="E792" s="5">
        <v>36.593809</v>
      </c>
      <c r="F792" s="2" t="s">
        <v>2901</v>
      </c>
      <c r="G792" s="2" t="s">
        <v>28</v>
      </c>
      <c r="H792" s="2" t="s">
        <v>29</v>
      </c>
      <c r="I792" s="2" t="s">
        <v>30</v>
      </c>
      <c r="J792" s="2" t="s">
        <v>2902</v>
      </c>
      <c r="K792" s="2" t="s">
        <v>22</v>
      </c>
      <c r="L792" s="2" t="s">
        <v>44</v>
      </c>
      <c r="M792" s="3">
        <v>2</v>
      </c>
      <c r="N792" s="3">
        <v>1</v>
      </c>
      <c r="O792" s="9" t="s">
        <v>24</v>
      </c>
      <c r="P792" s="3">
        <v>-3.87</v>
      </c>
    </row>
    <row r="793" spans="1:16" x14ac:dyDescent="0.3">
      <c r="A793" s="2" t="s">
        <v>2903</v>
      </c>
      <c r="B793" s="2" t="s">
        <v>2904</v>
      </c>
      <c r="C793" s="2" t="s">
        <v>18</v>
      </c>
      <c r="D793" s="5">
        <v>41.041306800000001</v>
      </c>
      <c r="E793" s="5">
        <v>36.498810300000002</v>
      </c>
      <c r="F793" s="2" t="s">
        <v>2905</v>
      </c>
      <c r="G793" s="2" t="s">
        <v>28</v>
      </c>
      <c r="H793" s="2" t="s">
        <v>29</v>
      </c>
      <c r="I793" s="2" t="s">
        <v>30</v>
      </c>
      <c r="J793" s="2" t="s">
        <v>2906</v>
      </c>
      <c r="K793" s="2" t="s">
        <v>22</v>
      </c>
      <c r="L793" s="2" t="s">
        <v>44</v>
      </c>
      <c r="M793" s="3">
        <v>1</v>
      </c>
      <c r="N793" s="3">
        <v>1</v>
      </c>
      <c r="O793" s="9" t="s">
        <v>24</v>
      </c>
      <c r="P793" s="3">
        <v>-1169.27</v>
      </c>
    </row>
    <row r="794" spans="1:16" x14ac:dyDescent="0.3">
      <c r="A794" s="2" t="s">
        <v>2907</v>
      </c>
      <c r="B794" s="2" t="s">
        <v>2908</v>
      </c>
      <c r="C794" s="2" t="s">
        <v>18</v>
      </c>
      <c r="D794" s="5">
        <v>41.370022400000003</v>
      </c>
      <c r="E794" s="5">
        <v>36.198496900000002</v>
      </c>
      <c r="F794" s="2" t="s">
        <v>2909</v>
      </c>
      <c r="G794" s="2" t="s">
        <v>28</v>
      </c>
      <c r="H794" s="2" t="s">
        <v>29</v>
      </c>
      <c r="I794" s="2" t="s">
        <v>30</v>
      </c>
      <c r="J794" s="2" t="s">
        <v>2910</v>
      </c>
      <c r="K794" s="2" t="s">
        <v>22</v>
      </c>
      <c r="L794" s="2" t="s">
        <v>23</v>
      </c>
      <c r="M794" s="3">
        <v>1</v>
      </c>
      <c r="N794" s="3">
        <v>1</v>
      </c>
      <c r="O794" s="9" t="s">
        <v>54</v>
      </c>
      <c r="P794" s="3">
        <v>0</v>
      </c>
    </row>
    <row r="795" spans="1:16" x14ac:dyDescent="0.3">
      <c r="A795" s="2" t="s">
        <v>2911</v>
      </c>
      <c r="B795" s="2" t="s">
        <v>2912</v>
      </c>
      <c r="C795" s="2" t="s">
        <v>18</v>
      </c>
      <c r="D795" s="5">
        <v>41.268468200000001</v>
      </c>
      <c r="E795" s="5">
        <v>36.366310800000001</v>
      </c>
      <c r="F795" s="2" t="s">
        <v>2913</v>
      </c>
      <c r="G795" s="2" t="s">
        <v>28</v>
      </c>
      <c r="H795" s="2" t="s">
        <v>29</v>
      </c>
      <c r="I795" s="2" t="s">
        <v>30</v>
      </c>
      <c r="J795" s="2" t="s">
        <v>2914</v>
      </c>
      <c r="K795" s="2" t="s">
        <v>22</v>
      </c>
      <c r="L795" s="2" t="s">
        <v>99</v>
      </c>
      <c r="M795" s="3">
        <v>1</v>
      </c>
      <c r="N795" s="3">
        <v>1</v>
      </c>
      <c r="O795" s="9" t="s">
        <v>54</v>
      </c>
      <c r="P795" s="3">
        <v>0</v>
      </c>
    </row>
    <row r="796" spans="1:16" x14ac:dyDescent="0.3">
      <c r="A796" s="2" t="s">
        <v>2915</v>
      </c>
      <c r="B796" s="2" t="s">
        <v>2916</v>
      </c>
      <c r="C796" s="2" t="s">
        <v>18</v>
      </c>
      <c r="D796" s="5">
        <v>0</v>
      </c>
      <c r="E796" s="5">
        <v>0</v>
      </c>
      <c r="F796" s="2" t="s">
        <v>2917</v>
      </c>
      <c r="G796" s="2" t="s">
        <v>28</v>
      </c>
      <c r="H796" s="2" t="s">
        <v>29</v>
      </c>
      <c r="I796" s="2" t="s">
        <v>30</v>
      </c>
      <c r="J796" s="2" t="s">
        <v>2918</v>
      </c>
      <c r="K796" s="2" t="s">
        <v>22</v>
      </c>
      <c r="L796" s="2" t="s">
        <v>53</v>
      </c>
      <c r="M796" s="3">
        <v>0</v>
      </c>
      <c r="N796" s="3">
        <v>0</v>
      </c>
      <c r="O796" s="9" t="s">
        <v>24</v>
      </c>
      <c r="P796" s="3">
        <v>0</v>
      </c>
    </row>
    <row r="797" spans="1:16" x14ac:dyDescent="0.3">
      <c r="A797" s="2" t="s">
        <v>2919</v>
      </c>
      <c r="B797" s="2" t="s">
        <v>2916</v>
      </c>
      <c r="C797" s="2" t="s">
        <v>18</v>
      </c>
      <c r="D797" s="5">
        <v>0</v>
      </c>
      <c r="E797" s="5">
        <v>0</v>
      </c>
      <c r="F797" s="2" t="s">
        <v>2917</v>
      </c>
      <c r="G797" s="2" t="s">
        <v>221</v>
      </c>
      <c r="H797" s="2" t="s">
        <v>222</v>
      </c>
      <c r="I797" s="2" t="s">
        <v>222</v>
      </c>
      <c r="J797" s="2" t="s">
        <v>2918</v>
      </c>
      <c r="K797" s="2" t="s">
        <v>22</v>
      </c>
      <c r="L797" s="2" t="s">
        <v>53</v>
      </c>
      <c r="M797" s="3">
        <v>0</v>
      </c>
      <c r="N797" s="3">
        <v>0</v>
      </c>
      <c r="O797" s="9" t="s">
        <v>24</v>
      </c>
      <c r="P797" s="3">
        <v>0</v>
      </c>
    </row>
    <row r="798" spans="1:16" x14ac:dyDescent="0.3">
      <c r="A798" s="2" t="s">
        <v>2920</v>
      </c>
      <c r="B798" s="2" t="s">
        <v>2916</v>
      </c>
      <c r="C798" s="2" t="s">
        <v>18</v>
      </c>
      <c r="D798" s="5">
        <v>41.571556700000002</v>
      </c>
      <c r="E798" s="5">
        <v>35.9001667</v>
      </c>
      <c r="F798" s="2" t="s">
        <v>2917</v>
      </c>
      <c r="G798" s="2" t="s">
        <v>221</v>
      </c>
      <c r="H798" s="2" t="s">
        <v>1049</v>
      </c>
      <c r="I798" s="2" t="s">
        <v>1049</v>
      </c>
      <c r="J798" s="2" t="s">
        <v>2918</v>
      </c>
      <c r="K798" s="2" t="s">
        <v>22</v>
      </c>
      <c r="L798" s="2" t="s">
        <v>53</v>
      </c>
      <c r="M798" s="3">
        <v>1</v>
      </c>
      <c r="N798" s="3">
        <v>1</v>
      </c>
      <c r="O798" s="9" t="s">
        <v>24</v>
      </c>
      <c r="P798" s="3">
        <v>-0.22</v>
      </c>
    </row>
    <row r="799" spans="1:16" x14ac:dyDescent="0.3">
      <c r="A799" s="2" t="s">
        <v>2921</v>
      </c>
      <c r="B799" s="2" t="s">
        <v>2922</v>
      </c>
      <c r="C799" s="2" t="s">
        <v>18</v>
      </c>
      <c r="D799" s="5">
        <v>41.142811000000002</v>
      </c>
      <c r="E799" s="5">
        <v>35.4689987</v>
      </c>
      <c r="F799" s="2" t="s">
        <v>2923</v>
      </c>
      <c r="G799" s="2" t="s">
        <v>28</v>
      </c>
      <c r="H799" s="2" t="s">
        <v>29</v>
      </c>
      <c r="I799" s="2" t="s">
        <v>30</v>
      </c>
      <c r="J799" s="2" t="s">
        <v>2924</v>
      </c>
      <c r="K799" s="2" t="s">
        <v>22</v>
      </c>
      <c r="L799" s="2" t="s">
        <v>39</v>
      </c>
      <c r="M799" s="3">
        <v>1</v>
      </c>
      <c r="N799" s="3">
        <v>1</v>
      </c>
      <c r="O799" s="9" t="s">
        <v>24</v>
      </c>
      <c r="P799" s="3">
        <v>0</v>
      </c>
    </row>
    <row r="800" spans="1:16" x14ac:dyDescent="0.3">
      <c r="A800" s="2" t="s">
        <v>2925</v>
      </c>
      <c r="B800" s="2" t="s">
        <v>2926</v>
      </c>
      <c r="C800" s="2" t="s">
        <v>18</v>
      </c>
      <c r="D800" s="5">
        <v>41.317819999999998</v>
      </c>
      <c r="E800" s="5">
        <v>36.301020000000001</v>
      </c>
      <c r="F800" s="2" t="s">
        <v>2927</v>
      </c>
      <c r="G800" s="2" t="s">
        <v>28</v>
      </c>
      <c r="H800" s="2" t="s">
        <v>29</v>
      </c>
      <c r="I800" s="2" t="s">
        <v>30</v>
      </c>
      <c r="J800" s="2" t="s">
        <v>2928</v>
      </c>
      <c r="K800" s="2" t="s">
        <v>22</v>
      </c>
      <c r="L800" s="2" t="s">
        <v>32</v>
      </c>
      <c r="M800" s="3">
        <v>0</v>
      </c>
      <c r="N800" s="3">
        <v>1</v>
      </c>
      <c r="O800" s="9" t="s">
        <v>24</v>
      </c>
      <c r="P800" s="3">
        <v>-0.23</v>
      </c>
    </row>
    <row r="801" spans="1:16" x14ac:dyDescent="0.3">
      <c r="A801" s="2" t="s">
        <v>2929</v>
      </c>
      <c r="B801" s="2" t="s">
        <v>2930</v>
      </c>
      <c r="C801" s="2" t="s">
        <v>18</v>
      </c>
      <c r="D801" s="5">
        <v>41.121686699999998</v>
      </c>
      <c r="E801" s="5">
        <v>37.280740000000002</v>
      </c>
      <c r="F801" s="2" t="s">
        <v>2931</v>
      </c>
      <c r="G801" s="2" t="s">
        <v>28</v>
      </c>
      <c r="H801" s="2" t="s">
        <v>29</v>
      </c>
      <c r="I801" s="2" t="s">
        <v>30</v>
      </c>
      <c r="J801" s="2" t="s">
        <v>2932</v>
      </c>
      <c r="K801" s="2" t="s">
        <v>63</v>
      </c>
      <c r="L801" s="2" t="s">
        <v>89</v>
      </c>
      <c r="M801" s="3">
        <v>1</v>
      </c>
      <c r="N801" s="3">
        <v>1</v>
      </c>
      <c r="O801" s="9" t="s">
        <v>54</v>
      </c>
      <c r="P801" s="3">
        <v>0</v>
      </c>
    </row>
    <row r="802" spans="1:16" x14ac:dyDescent="0.3">
      <c r="A802" s="2" t="s">
        <v>2933</v>
      </c>
      <c r="B802" s="2" t="s">
        <v>2934</v>
      </c>
      <c r="C802" s="2" t="s">
        <v>18</v>
      </c>
      <c r="D802" s="5">
        <v>41.135920300000002</v>
      </c>
      <c r="E802" s="5">
        <v>35.465190999999997</v>
      </c>
      <c r="F802" s="2" t="s">
        <v>2935</v>
      </c>
      <c r="G802" s="2" t="s">
        <v>28</v>
      </c>
      <c r="H802" s="2" t="s">
        <v>29</v>
      </c>
      <c r="I802" s="2" t="s">
        <v>30</v>
      </c>
      <c r="J802" s="2" t="s">
        <v>2936</v>
      </c>
      <c r="K802" s="2" t="s">
        <v>22</v>
      </c>
      <c r="L802" s="2" t="s">
        <v>164</v>
      </c>
      <c r="M802" s="3">
        <v>2</v>
      </c>
      <c r="N802" s="3">
        <v>1</v>
      </c>
      <c r="O802" s="9" t="s">
        <v>24</v>
      </c>
      <c r="P802" s="3">
        <v>-0.28999999999999998</v>
      </c>
    </row>
    <row r="803" spans="1:16" x14ac:dyDescent="0.3">
      <c r="A803" s="2" t="s">
        <v>2937</v>
      </c>
      <c r="B803" s="2" t="s">
        <v>2938</v>
      </c>
      <c r="C803" s="2" t="s">
        <v>18</v>
      </c>
      <c r="D803" s="5">
        <v>41.168968300000003</v>
      </c>
      <c r="E803" s="5">
        <v>36.728813299999999</v>
      </c>
      <c r="F803" s="2" t="s">
        <v>2939</v>
      </c>
      <c r="G803" s="2" t="s">
        <v>28</v>
      </c>
      <c r="H803" s="2" t="s">
        <v>29</v>
      </c>
      <c r="I803" s="2" t="s">
        <v>30</v>
      </c>
      <c r="J803" s="2" t="s">
        <v>2940</v>
      </c>
      <c r="K803" s="2" t="s">
        <v>22</v>
      </c>
      <c r="L803" s="2" t="s">
        <v>44</v>
      </c>
      <c r="M803" s="3">
        <v>2</v>
      </c>
      <c r="N803" s="3">
        <v>1</v>
      </c>
      <c r="O803" s="9" t="s">
        <v>24</v>
      </c>
      <c r="P803" s="3">
        <v>-5357.51</v>
      </c>
    </row>
    <row r="804" spans="1:16" x14ac:dyDescent="0.3">
      <c r="A804" s="2" t="s">
        <v>2941</v>
      </c>
      <c r="B804" s="2" t="s">
        <v>2942</v>
      </c>
      <c r="C804" s="2" t="s">
        <v>18</v>
      </c>
      <c r="D804" s="5">
        <v>41.190420000000003</v>
      </c>
      <c r="E804" s="5">
        <v>36.698763399999997</v>
      </c>
      <c r="F804" s="2" t="s">
        <v>2943</v>
      </c>
      <c r="G804" s="2" t="s">
        <v>28</v>
      </c>
      <c r="H804" s="2" t="s">
        <v>29</v>
      </c>
      <c r="I804" s="2" t="s">
        <v>30</v>
      </c>
      <c r="J804" s="2" t="s">
        <v>2944</v>
      </c>
      <c r="K804" s="2" t="s">
        <v>22</v>
      </c>
      <c r="L804" s="2" t="s">
        <v>44</v>
      </c>
      <c r="M804" s="3">
        <v>1</v>
      </c>
      <c r="N804" s="3">
        <v>1</v>
      </c>
      <c r="O804" s="9" t="s">
        <v>24</v>
      </c>
      <c r="P804" s="3">
        <v>-1291.5899999999999</v>
      </c>
    </row>
    <row r="805" spans="1:16" x14ac:dyDescent="0.3">
      <c r="A805" s="2" t="s">
        <v>2945</v>
      </c>
      <c r="B805" s="2" t="s">
        <v>2946</v>
      </c>
      <c r="C805" s="2" t="s">
        <v>18</v>
      </c>
      <c r="D805" s="5">
        <v>41.1902525</v>
      </c>
      <c r="E805" s="5">
        <v>36.698520299999998</v>
      </c>
      <c r="F805" s="2" t="s">
        <v>2943</v>
      </c>
      <c r="G805" s="2" t="s">
        <v>221</v>
      </c>
      <c r="H805" s="2" t="s">
        <v>222</v>
      </c>
      <c r="I805" s="2" t="s">
        <v>222</v>
      </c>
      <c r="J805" s="2" t="s">
        <v>2947</v>
      </c>
      <c r="K805" s="2" t="s">
        <v>22</v>
      </c>
      <c r="L805" s="2" t="s">
        <v>44</v>
      </c>
      <c r="M805" s="3">
        <v>1</v>
      </c>
      <c r="N805" s="3">
        <v>1</v>
      </c>
      <c r="O805" s="9" t="s">
        <v>54</v>
      </c>
      <c r="P805" s="3">
        <v>-1622.58</v>
      </c>
    </row>
    <row r="806" spans="1:16" x14ac:dyDescent="0.3">
      <c r="A806" s="2" t="s">
        <v>2948</v>
      </c>
      <c r="B806" s="2" t="s">
        <v>2949</v>
      </c>
      <c r="C806" s="2" t="s">
        <v>18</v>
      </c>
      <c r="D806" s="5">
        <v>41.276312699999998</v>
      </c>
      <c r="E806" s="5">
        <v>36.341134099999998</v>
      </c>
      <c r="F806" s="2" t="s">
        <v>2950</v>
      </c>
      <c r="G806" s="2" t="s">
        <v>28</v>
      </c>
      <c r="H806" s="2" t="s">
        <v>29</v>
      </c>
      <c r="I806" s="2" t="s">
        <v>30</v>
      </c>
      <c r="J806" s="2" t="s">
        <v>2951</v>
      </c>
      <c r="K806" s="2" t="s">
        <v>22</v>
      </c>
      <c r="L806" s="2" t="s">
        <v>32</v>
      </c>
      <c r="M806" s="3">
        <v>2</v>
      </c>
      <c r="N806" s="3">
        <v>1</v>
      </c>
      <c r="O806" s="9" t="s">
        <v>24</v>
      </c>
      <c r="P806" s="3">
        <v>2439.98</v>
      </c>
    </row>
    <row r="807" spans="1:16" x14ac:dyDescent="0.3">
      <c r="A807" s="2" t="s">
        <v>2952</v>
      </c>
      <c r="B807" s="2" t="s">
        <v>2953</v>
      </c>
      <c r="C807" s="2" t="s">
        <v>18</v>
      </c>
      <c r="D807" s="5">
        <v>41.040785700000001</v>
      </c>
      <c r="E807" s="5">
        <v>36.498045699999999</v>
      </c>
      <c r="F807" s="2" t="s">
        <v>2954</v>
      </c>
      <c r="G807" s="2" t="s">
        <v>28</v>
      </c>
      <c r="H807" s="2" t="s">
        <v>29</v>
      </c>
      <c r="I807" s="2" t="s">
        <v>30</v>
      </c>
      <c r="J807" s="2" t="s">
        <v>2955</v>
      </c>
      <c r="K807" s="2" t="s">
        <v>22</v>
      </c>
      <c r="L807" s="2" t="s">
        <v>44</v>
      </c>
      <c r="M807" s="3">
        <v>1</v>
      </c>
      <c r="N807" s="3">
        <v>1</v>
      </c>
      <c r="O807" s="9" t="s">
        <v>24</v>
      </c>
      <c r="P807" s="3">
        <v>0</v>
      </c>
    </row>
    <row r="808" spans="1:16" x14ac:dyDescent="0.3">
      <c r="A808" s="2" t="s">
        <v>2956</v>
      </c>
      <c r="B808" s="2" t="s">
        <v>2957</v>
      </c>
      <c r="C808" s="2" t="s">
        <v>18</v>
      </c>
      <c r="D808" s="5">
        <v>41.052648599999998</v>
      </c>
      <c r="E808" s="5">
        <v>37.077290300000001</v>
      </c>
      <c r="F808" s="2" t="s">
        <v>2958</v>
      </c>
      <c r="G808" s="2" t="s">
        <v>28</v>
      </c>
      <c r="H808" s="2" t="s">
        <v>29</v>
      </c>
      <c r="I808" s="2" t="s">
        <v>30</v>
      </c>
      <c r="J808" s="2" t="s">
        <v>2959</v>
      </c>
      <c r="K808" s="2" t="s">
        <v>63</v>
      </c>
      <c r="L808" s="2" t="s">
        <v>94</v>
      </c>
      <c r="M808" s="3">
        <v>1</v>
      </c>
      <c r="N808" s="3">
        <v>1</v>
      </c>
      <c r="O808" s="9" t="s">
        <v>24</v>
      </c>
      <c r="P808" s="3">
        <v>-722.84</v>
      </c>
    </row>
    <row r="809" spans="1:16" x14ac:dyDescent="0.3">
      <c r="A809" s="2" t="s">
        <v>2960</v>
      </c>
      <c r="B809" s="2" t="s">
        <v>2961</v>
      </c>
      <c r="C809" s="2" t="s">
        <v>18</v>
      </c>
      <c r="D809" s="5">
        <v>41.194811100000003</v>
      </c>
      <c r="E809" s="5">
        <v>36.7343519</v>
      </c>
      <c r="F809" s="2" t="s">
        <v>2962</v>
      </c>
      <c r="G809" s="2" t="s">
        <v>221</v>
      </c>
      <c r="H809" s="2" t="s">
        <v>222</v>
      </c>
      <c r="I809" s="2" t="s">
        <v>222</v>
      </c>
      <c r="J809" s="2" t="s">
        <v>2963</v>
      </c>
      <c r="K809" s="2" t="s">
        <v>22</v>
      </c>
      <c r="L809" s="2" t="s">
        <v>44</v>
      </c>
      <c r="M809" s="3">
        <v>0</v>
      </c>
      <c r="N809" s="3">
        <v>1</v>
      </c>
      <c r="O809" s="9" t="s">
        <v>24</v>
      </c>
      <c r="P809" s="3">
        <v>-548.66999999999996</v>
      </c>
    </row>
    <row r="810" spans="1:16" x14ac:dyDescent="0.3">
      <c r="A810" s="2" t="s">
        <v>2964</v>
      </c>
      <c r="B810" s="2" t="s">
        <v>2965</v>
      </c>
      <c r="C810" s="2" t="s">
        <v>18</v>
      </c>
      <c r="D810" s="5">
        <v>41.258323500000003</v>
      </c>
      <c r="E810" s="5">
        <v>36.345550600000003</v>
      </c>
      <c r="F810" s="2" t="s">
        <v>2966</v>
      </c>
      <c r="G810" s="2" t="s">
        <v>28</v>
      </c>
      <c r="H810" s="2" t="s">
        <v>29</v>
      </c>
      <c r="I810" s="2" t="s">
        <v>30</v>
      </c>
      <c r="J810" s="2" t="s">
        <v>2149</v>
      </c>
      <c r="K810" s="2" t="s">
        <v>22</v>
      </c>
      <c r="L810" s="2" t="s">
        <v>99</v>
      </c>
      <c r="M810" s="3">
        <v>0</v>
      </c>
      <c r="N810" s="3">
        <v>1</v>
      </c>
      <c r="O810" s="9" t="s">
        <v>24</v>
      </c>
      <c r="P810" s="3">
        <v>0</v>
      </c>
    </row>
    <row r="811" spans="1:16" x14ac:dyDescent="0.3">
      <c r="A811" s="2" t="s">
        <v>2967</v>
      </c>
      <c r="B811" s="2" t="s">
        <v>2968</v>
      </c>
      <c r="C811" s="2" t="s">
        <v>18</v>
      </c>
      <c r="D811" s="5">
        <v>41.467923300000002</v>
      </c>
      <c r="E811" s="5">
        <v>36.125311699999997</v>
      </c>
      <c r="F811" s="2" t="s">
        <v>2969</v>
      </c>
      <c r="G811" s="2" t="s">
        <v>28</v>
      </c>
      <c r="H811" s="2" t="s">
        <v>29</v>
      </c>
      <c r="I811" s="2" t="s">
        <v>30</v>
      </c>
      <c r="J811" s="2" t="s">
        <v>2970</v>
      </c>
      <c r="K811" s="2" t="s">
        <v>22</v>
      </c>
      <c r="L811" s="2" t="s">
        <v>23</v>
      </c>
      <c r="M811" s="3">
        <v>2</v>
      </c>
      <c r="N811" s="3">
        <v>1</v>
      </c>
      <c r="O811" s="9" t="s">
        <v>24</v>
      </c>
      <c r="P811" s="3">
        <v>-0.43</v>
      </c>
    </row>
    <row r="812" spans="1:16" x14ac:dyDescent="0.3">
      <c r="A812" s="2" t="s">
        <v>2971</v>
      </c>
      <c r="B812" s="2" t="s">
        <v>2972</v>
      </c>
      <c r="C812" s="2" t="s">
        <v>18</v>
      </c>
      <c r="D812" s="5">
        <v>41.337162599999999</v>
      </c>
      <c r="E812" s="5">
        <v>36.7063366</v>
      </c>
      <c r="F812" s="2" t="s">
        <v>2973</v>
      </c>
      <c r="G812" s="2" t="s">
        <v>28</v>
      </c>
      <c r="H812" s="2" t="s">
        <v>29</v>
      </c>
      <c r="I812" s="2" t="s">
        <v>30</v>
      </c>
      <c r="J812" s="2" t="s">
        <v>2974</v>
      </c>
      <c r="K812" s="2" t="s">
        <v>22</v>
      </c>
      <c r="L812" s="2" t="s">
        <v>44</v>
      </c>
      <c r="M812" s="3">
        <v>1</v>
      </c>
      <c r="N812" s="3">
        <v>1</v>
      </c>
      <c r="O812" s="9" t="s">
        <v>24</v>
      </c>
      <c r="P812" s="3">
        <v>-649.45000000000005</v>
      </c>
    </row>
    <row r="813" spans="1:16" x14ac:dyDescent="0.3">
      <c r="A813" s="2" t="s">
        <v>2975</v>
      </c>
      <c r="B813" s="2" t="s">
        <v>2976</v>
      </c>
      <c r="C813" s="2" t="s">
        <v>18</v>
      </c>
      <c r="D813" s="5">
        <v>41.124661500000002</v>
      </c>
      <c r="E813" s="5">
        <v>37.2675184</v>
      </c>
      <c r="F813" s="2" t="s">
        <v>2977</v>
      </c>
      <c r="G813" s="2" t="s">
        <v>28</v>
      </c>
      <c r="H813" s="2" t="s">
        <v>29</v>
      </c>
      <c r="I813" s="2" t="s">
        <v>30</v>
      </c>
      <c r="J813" s="2" t="s">
        <v>2978</v>
      </c>
      <c r="K813" s="2" t="s">
        <v>63</v>
      </c>
      <c r="L813" s="2" t="s">
        <v>89</v>
      </c>
      <c r="M813" s="3">
        <v>1</v>
      </c>
      <c r="N813" s="3">
        <v>1</v>
      </c>
      <c r="O813" s="9" t="s">
        <v>24</v>
      </c>
      <c r="P813" s="3">
        <v>-0.96</v>
      </c>
    </row>
    <row r="814" spans="1:16" x14ac:dyDescent="0.3">
      <c r="A814" s="2" t="s">
        <v>2979</v>
      </c>
      <c r="B814" s="2" t="s">
        <v>2980</v>
      </c>
      <c r="C814" s="2" t="s">
        <v>18</v>
      </c>
      <c r="D814" s="5">
        <v>41.304625399999999</v>
      </c>
      <c r="E814" s="5">
        <v>36.325454200000003</v>
      </c>
      <c r="F814" s="2" t="s">
        <v>54</v>
      </c>
      <c r="G814" s="2" t="s">
        <v>259</v>
      </c>
      <c r="H814" s="2" t="s">
        <v>260</v>
      </c>
      <c r="I814" s="2" t="s">
        <v>260</v>
      </c>
      <c r="J814" s="2" t="s">
        <v>2981</v>
      </c>
      <c r="K814" s="2" t="s">
        <v>22</v>
      </c>
      <c r="L814" s="2" t="s">
        <v>32</v>
      </c>
      <c r="M814" s="3">
        <v>1</v>
      </c>
      <c r="N814" s="3">
        <v>1</v>
      </c>
      <c r="O814" s="9" t="s">
        <v>24</v>
      </c>
      <c r="P814" s="3">
        <v>0</v>
      </c>
    </row>
    <row r="815" spans="1:16" x14ac:dyDescent="0.3">
      <c r="A815" s="2" t="s">
        <v>2982</v>
      </c>
      <c r="B815" s="2" t="s">
        <v>2983</v>
      </c>
      <c r="C815" s="2" t="s">
        <v>18</v>
      </c>
      <c r="D815" s="5">
        <v>41.278790299999997</v>
      </c>
      <c r="E815" s="5">
        <v>36.331224499999998</v>
      </c>
      <c r="F815" s="2" t="s">
        <v>2984</v>
      </c>
      <c r="G815" s="2" t="s">
        <v>28</v>
      </c>
      <c r="H815" s="2" t="s">
        <v>29</v>
      </c>
      <c r="I815" s="2" t="s">
        <v>30</v>
      </c>
      <c r="J815" s="2" t="s">
        <v>2985</v>
      </c>
      <c r="K815" s="2" t="s">
        <v>22</v>
      </c>
      <c r="L815" s="2" t="s">
        <v>32</v>
      </c>
      <c r="M815" s="3">
        <v>1</v>
      </c>
      <c r="N815" s="3">
        <v>1</v>
      </c>
      <c r="O815" s="9" t="s">
        <v>24</v>
      </c>
      <c r="P815" s="3">
        <v>-874.13</v>
      </c>
    </row>
    <row r="816" spans="1:16" x14ac:dyDescent="0.3">
      <c r="A816" s="2" t="s">
        <v>2986</v>
      </c>
      <c r="B816" s="2" t="s">
        <v>2987</v>
      </c>
      <c r="C816" s="2" t="s">
        <v>18</v>
      </c>
      <c r="D816" s="5">
        <v>41.205363300000002</v>
      </c>
      <c r="E816" s="5">
        <v>36.7294883</v>
      </c>
      <c r="F816" s="2" t="s">
        <v>2988</v>
      </c>
      <c r="G816" s="2" t="s">
        <v>28</v>
      </c>
      <c r="H816" s="2" t="s">
        <v>29</v>
      </c>
      <c r="I816" s="2" t="s">
        <v>30</v>
      </c>
      <c r="J816" s="2" t="s">
        <v>2989</v>
      </c>
      <c r="K816" s="2" t="s">
        <v>22</v>
      </c>
      <c r="L816" s="2" t="s">
        <v>44</v>
      </c>
      <c r="M816" s="3">
        <v>2</v>
      </c>
      <c r="N816" s="3">
        <v>1</v>
      </c>
      <c r="O816" s="9" t="s">
        <v>24</v>
      </c>
      <c r="P816" s="3">
        <v>-829.33</v>
      </c>
    </row>
    <row r="817" spans="1:16" x14ac:dyDescent="0.3">
      <c r="A817" s="2" t="s">
        <v>2990</v>
      </c>
      <c r="B817" s="2" t="s">
        <v>2991</v>
      </c>
      <c r="C817" s="2" t="s">
        <v>18</v>
      </c>
      <c r="D817" s="5">
        <v>41.206245099999997</v>
      </c>
      <c r="E817" s="5">
        <v>36.722479399999997</v>
      </c>
      <c r="F817" s="2" t="s">
        <v>2992</v>
      </c>
      <c r="G817" s="2" t="s">
        <v>221</v>
      </c>
      <c r="H817" s="2" t="s">
        <v>222</v>
      </c>
      <c r="I817" s="2" t="s">
        <v>222</v>
      </c>
      <c r="J817" s="2" t="s">
        <v>2993</v>
      </c>
      <c r="K817" s="2" t="s">
        <v>22</v>
      </c>
      <c r="L817" s="2" t="s">
        <v>44</v>
      </c>
      <c r="M817" s="3">
        <v>0</v>
      </c>
      <c r="N817" s="3">
        <v>1</v>
      </c>
      <c r="O817" s="9" t="s">
        <v>54</v>
      </c>
      <c r="P817" s="3">
        <v>-0.1</v>
      </c>
    </row>
    <row r="818" spans="1:16" x14ac:dyDescent="0.3">
      <c r="A818" s="2" t="s">
        <v>2994</v>
      </c>
      <c r="B818" s="2" t="s">
        <v>2995</v>
      </c>
      <c r="C818" s="2" t="s">
        <v>18</v>
      </c>
      <c r="D818" s="5">
        <v>41.633859999999999</v>
      </c>
      <c r="E818" s="5">
        <v>35.609253000000002</v>
      </c>
      <c r="F818" s="2" t="s">
        <v>1365</v>
      </c>
      <c r="G818" s="2" t="s">
        <v>28</v>
      </c>
      <c r="H818" s="2" t="s">
        <v>29</v>
      </c>
      <c r="I818" s="2" t="s">
        <v>30</v>
      </c>
      <c r="J818" s="2" t="s">
        <v>2996</v>
      </c>
      <c r="K818" s="2" t="s">
        <v>22</v>
      </c>
      <c r="L818" s="2" t="s">
        <v>265</v>
      </c>
      <c r="M818" s="3">
        <v>1</v>
      </c>
      <c r="N818" s="3">
        <v>1</v>
      </c>
      <c r="O818" s="9" t="s">
        <v>24</v>
      </c>
      <c r="P818" s="3">
        <v>-5825.45</v>
      </c>
    </row>
    <row r="819" spans="1:16" x14ac:dyDescent="0.3">
      <c r="A819" s="2" t="s">
        <v>2997</v>
      </c>
      <c r="B819" s="2" t="s">
        <v>2998</v>
      </c>
      <c r="C819" s="2" t="s">
        <v>18</v>
      </c>
      <c r="D819" s="5">
        <v>41.168068699999999</v>
      </c>
      <c r="E819" s="5">
        <v>35.195739799999998</v>
      </c>
      <c r="F819" s="2" t="s">
        <v>2999</v>
      </c>
      <c r="G819" s="2" t="s">
        <v>28</v>
      </c>
      <c r="H819" s="2" t="s">
        <v>29</v>
      </c>
      <c r="I819" s="2" t="s">
        <v>30</v>
      </c>
      <c r="J819" s="2" t="s">
        <v>3000</v>
      </c>
      <c r="K819" s="2" t="s">
        <v>22</v>
      </c>
      <c r="L819" s="2" t="s">
        <v>164</v>
      </c>
      <c r="M819" s="3">
        <v>1</v>
      </c>
      <c r="N819" s="3">
        <v>1</v>
      </c>
      <c r="O819" s="9" t="s">
        <v>24</v>
      </c>
      <c r="P819" s="3">
        <v>-238.9</v>
      </c>
    </row>
    <row r="820" spans="1:16" x14ac:dyDescent="0.3">
      <c r="A820" s="2" t="s">
        <v>3001</v>
      </c>
      <c r="B820" s="2" t="s">
        <v>3002</v>
      </c>
      <c r="C820" s="2" t="s">
        <v>18</v>
      </c>
      <c r="D820" s="5">
        <v>41.561872000000001</v>
      </c>
      <c r="E820" s="5">
        <v>35.895065500000001</v>
      </c>
      <c r="F820" s="2" t="s">
        <v>421</v>
      </c>
      <c r="G820" s="2" t="s">
        <v>28</v>
      </c>
      <c r="H820" s="2" t="s">
        <v>29</v>
      </c>
      <c r="I820" s="2" t="s">
        <v>30</v>
      </c>
      <c r="J820" s="2" t="s">
        <v>3003</v>
      </c>
      <c r="K820" s="2" t="s">
        <v>22</v>
      </c>
      <c r="L820" s="2" t="s">
        <v>53</v>
      </c>
      <c r="M820" s="3">
        <v>1</v>
      </c>
      <c r="N820" s="3">
        <v>1</v>
      </c>
      <c r="O820" s="9" t="s">
        <v>24</v>
      </c>
      <c r="P820" s="3">
        <v>0</v>
      </c>
    </row>
    <row r="821" spans="1:16" x14ac:dyDescent="0.3">
      <c r="A821" s="2" t="s">
        <v>3004</v>
      </c>
      <c r="B821" s="2" t="s">
        <v>3005</v>
      </c>
      <c r="C821" s="2" t="s">
        <v>18</v>
      </c>
      <c r="D821" s="5">
        <v>41.2697425</v>
      </c>
      <c r="E821" s="5">
        <v>36.351598099999997</v>
      </c>
      <c r="F821" s="2" t="s">
        <v>3006</v>
      </c>
      <c r="G821" s="2" t="s">
        <v>28</v>
      </c>
      <c r="H821" s="2" t="s">
        <v>29</v>
      </c>
      <c r="I821" s="2" t="s">
        <v>30</v>
      </c>
      <c r="J821" s="2" t="s">
        <v>3007</v>
      </c>
      <c r="K821" s="2" t="s">
        <v>22</v>
      </c>
      <c r="L821" s="2" t="s">
        <v>39</v>
      </c>
      <c r="M821" s="3">
        <v>0</v>
      </c>
      <c r="N821" s="3">
        <v>1</v>
      </c>
      <c r="O821" s="9" t="s">
        <v>54</v>
      </c>
      <c r="P821" s="3">
        <v>9828.67</v>
      </c>
    </row>
    <row r="822" spans="1:16" x14ac:dyDescent="0.3">
      <c r="A822" s="2" t="s">
        <v>3008</v>
      </c>
      <c r="B822" s="2" t="s">
        <v>3009</v>
      </c>
      <c r="C822" s="2" t="s">
        <v>18</v>
      </c>
      <c r="D822" s="5">
        <v>42.017476500000001</v>
      </c>
      <c r="E822" s="5">
        <v>35.132990599999999</v>
      </c>
      <c r="F822" s="2" t="s">
        <v>3010</v>
      </c>
      <c r="G822" s="2" t="s">
        <v>221</v>
      </c>
      <c r="H822" s="2" t="s">
        <v>1049</v>
      </c>
      <c r="I822" s="2" t="s">
        <v>1049</v>
      </c>
      <c r="J822" s="2" t="s">
        <v>3011</v>
      </c>
      <c r="K822" s="2" t="s">
        <v>154</v>
      </c>
      <c r="L822" s="2" t="s">
        <v>155</v>
      </c>
      <c r="M822" s="3">
        <v>1</v>
      </c>
      <c r="N822" s="3">
        <v>1</v>
      </c>
      <c r="O822" s="9" t="s">
        <v>24</v>
      </c>
      <c r="P822" s="3">
        <v>0</v>
      </c>
    </row>
    <row r="823" spans="1:16" x14ac:dyDescent="0.3">
      <c r="A823" s="2" t="s">
        <v>3012</v>
      </c>
      <c r="B823" s="2" t="s">
        <v>3013</v>
      </c>
      <c r="C823" s="2" t="s">
        <v>18</v>
      </c>
      <c r="D823" s="5">
        <v>41.579459999999997</v>
      </c>
      <c r="E823" s="5">
        <v>35.852029999999999</v>
      </c>
      <c r="F823" s="2" t="s">
        <v>3014</v>
      </c>
      <c r="G823" s="2" t="s">
        <v>221</v>
      </c>
      <c r="H823" s="2" t="s">
        <v>1049</v>
      </c>
      <c r="I823" s="2" t="s">
        <v>1049</v>
      </c>
      <c r="J823" s="2" t="s">
        <v>3015</v>
      </c>
      <c r="K823" s="2" t="s">
        <v>22</v>
      </c>
      <c r="L823" s="2" t="s">
        <v>53</v>
      </c>
      <c r="M823" s="3">
        <v>1</v>
      </c>
      <c r="N823" s="3">
        <v>1</v>
      </c>
      <c r="O823" s="9" t="s">
        <v>24</v>
      </c>
      <c r="P823" s="3">
        <v>-0.18</v>
      </c>
    </row>
    <row r="824" spans="1:16" x14ac:dyDescent="0.3">
      <c r="A824" s="2" t="s">
        <v>3016</v>
      </c>
      <c r="B824" s="2" t="s">
        <v>3017</v>
      </c>
      <c r="C824" s="2" t="s">
        <v>18</v>
      </c>
      <c r="D824" s="5">
        <v>40.959137499999997</v>
      </c>
      <c r="E824" s="5">
        <v>35.666936700000001</v>
      </c>
      <c r="F824" s="2" t="s">
        <v>3018</v>
      </c>
      <c r="G824" s="2" t="s">
        <v>28</v>
      </c>
      <c r="H824" s="2" t="s">
        <v>29</v>
      </c>
      <c r="I824" s="2" t="s">
        <v>30</v>
      </c>
      <c r="J824" s="2" t="s">
        <v>3019</v>
      </c>
      <c r="K824" s="2" t="s">
        <v>22</v>
      </c>
      <c r="L824" s="2" t="s">
        <v>193</v>
      </c>
      <c r="M824" s="3">
        <v>1</v>
      </c>
      <c r="N824" s="3">
        <v>1</v>
      </c>
      <c r="O824" s="9" t="s">
        <v>24</v>
      </c>
      <c r="P824" s="3">
        <v>-667.67</v>
      </c>
    </row>
    <row r="825" spans="1:16" x14ac:dyDescent="0.3">
      <c r="A825" s="2" t="s">
        <v>3020</v>
      </c>
      <c r="B825" s="2" t="s">
        <v>3021</v>
      </c>
      <c r="C825" s="2" t="s">
        <v>18</v>
      </c>
      <c r="D825" s="5">
        <v>41.059368800000001</v>
      </c>
      <c r="E825" s="5">
        <v>35.691817499999999</v>
      </c>
      <c r="F825" s="2" t="s">
        <v>3022</v>
      </c>
      <c r="G825" s="2" t="s">
        <v>28</v>
      </c>
      <c r="H825" s="2" t="s">
        <v>29</v>
      </c>
      <c r="I825" s="2" t="s">
        <v>30</v>
      </c>
      <c r="J825" s="2" t="s">
        <v>3023</v>
      </c>
      <c r="K825" s="2" t="s">
        <v>22</v>
      </c>
      <c r="L825" s="2" t="s">
        <v>193</v>
      </c>
      <c r="M825" s="3">
        <v>1</v>
      </c>
      <c r="N825" s="3">
        <v>1</v>
      </c>
      <c r="O825" s="9" t="s">
        <v>24</v>
      </c>
      <c r="P825" s="3">
        <v>-52.86</v>
      </c>
    </row>
    <row r="826" spans="1:16" x14ac:dyDescent="0.3">
      <c r="A826" s="2" t="s">
        <v>3024</v>
      </c>
      <c r="B826" s="2" t="s">
        <v>3025</v>
      </c>
      <c r="C826" s="2" t="s">
        <v>18</v>
      </c>
      <c r="D826" s="5">
        <v>41.345211200000001</v>
      </c>
      <c r="E826" s="5">
        <v>36.248386400000001</v>
      </c>
      <c r="F826" s="2" t="s">
        <v>3026</v>
      </c>
      <c r="G826" s="2" t="s">
        <v>221</v>
      </c>
      <c r="H826" s="2" t="s">
        <v>222</v>
      </c>
      <c r="I826" s="2" t="s">
        <v>222</v>
      </c>
      <c r="J826" s="2" t="s">
        <v>3027</v>
      </c>
      <c r="K826" s="2" t="s">
        <v>22</v>
      </c>
      <c r="L826" s="2" t="s">
        <v>23</v>
      </c>
      <c r="M826" s="3">
        <v>0</v>
      </c>
      <c r="N826" s="3">
        <v>1</v>
      </c>
      <c r="O826" s="9" t="s">
        <v>24</v>
      </c>
      <c r="P826" s="3">
        <v>0</v>
      </c>
    </row>
    <row r="827" spans="1:16" x14ac:dyDescent="0.3">
      <c r="A827" s="2" t="s">
        <v>3028</v>
      </c>
      <c r="B827" s="2" t="s">
        <v>3029</v>
      </c>
      <c r="C827" s="2" t="s">
        <v>18</v>
      </c>
      <c r="D827" s="5">
        <v>41.200863499999997</v>
      </c>
      <c r="E827" s="5">
        <v>36.708342100000003</v>
      </c>
      <c r="F827" s="2" t="s">
        <v>3030</v>
      </c>
      <c r="G827" s="2" t="s">
        <v>28</v>
      </c>
      <c r="H827" s="2" t="s">
        <v>29</v>
      </c>
      <c r="I827" s="2" t="s">
        <v>30</v>
      </c>
      <c r="J827" s="2" t="s">
        <v>3031</v>
      </c>
      <c r="K827" s="2" t="s">
        <v>22</v>
      </c>
      <c r="L827" s="2" t="s">
        <v>44</v>
      </c>
      <c r="M827" s="3">
        <v>0</v>
      </c>
      <c r="N827" s="3">
        <v>1</v>
      </c>
      <c r="O827" s="9" t="s">
        <v>24</v>
      </c>
      <c r="P827" s="3">
        <v>-836.95</v>
      </c>
    </row>
    <row r="828" spans="1:16" x14ac:dyDescent="0.3">
      <c r="A828" s="2" t="s">
        <v>3032</v>
      </c>
      <c r="B828" s="2" t="s">
        <v>3033</v>
      </c>
      <c r="C828" s="2" t="s">
        <v>18</v>
      </c>
      <c r="D828" s="5">
        <v>41.188988999999999</v>
      </c>
      <c r="E828" s="5">
        <v>36.718860900000003</v>
      </c>
      <c r="F828" s="2" t="s">
        <v>788</v>
      </c>
      <c r="G828" s="2" t="s">
        <v>221</v>
      </c>
      <c r="H828" s="2" t="s">
        <v>222</v>
      </c>
      <c r="I828" s="2" t="s">
        <v>222</v>
      </c>
      <c r="J828" s="2" t="s">
        <v>3034</v>
      </c>
      <c r="K828" s="2" t="s">
        <v>22</v>
      </c>
      <c r="L828" s="2" t="s">
        <v>44</v>
      </c>
      <c r="M828" s="3">
        <v>0</v>
      </c>
      <c r="N828" s="3">
        <v>0</v>
      </c>
      <c r="O828" s="9" t="s">
        <v>24</v>
      </c>
      <c r="P828" s="3">
        <v>0</v>
      </c>
    </row>
    <row r="829" spans="1:16" x14ac:dyDescent="0.3">
      <c r="A829" s="2" t="s">
        <v>3035</v>
      </c>
      <c r="B829" s="2" t="s">
        <v>3036</v>
      </c>
      <c r="C829" s="2" t="s">
        <v>18</v>
      </c>
      <c r="D829" s="5">
        <v>41.184257100000004</v>
      </c>
      <c r="E829" s="5">
        <v>36.7127482</v>
      </c>
      <c r="F829" s="2" t="s">
        <v>3037</v>
      </c>
      <c r="G829" s="2" t="s">
        <v>221</v>
      </c>
      <c r="H829" s="2" t="s">
        <v>222</v>
      </c>
      <c r="I829" s="2" t="s">
        <v>222</v>
      </c>
      <c r="J829" s="2" t="s">
        <v>3038</v>
      </c>
      <c r="K829" s="2" t="s">
        <v>22</v>
      </c>
      <c r="L829" s="2" t="s">
        <v>44</v>
      </c>
      <c r="M829" s="3">
        <v>2</v>
      </c>
      <c r="N829" s="3">
        <v>1</v>
      </c>
      <c r="O829" s="9" t="s">
        <v>24</v>
      </c>
      <c r="P829" s="3">
        <v>-2439.64</v>
      </c>
    </row>
    <row r="830" spans="1:16" x14ac:dyDescent="0.3">
      <c r="A830" s="2" t="s">
        <v>3039</v>
      </c>
      <c r="B830" s="2" t="s">
        <v>3040</v>
      </c>
      <c r="C830" s="2" t="s">
        <v>18</v>
      </c>
      <c r="D830" s="5">
        <v>41.1991133</v>
      </c>
      <c r="E830" s="5">
        <v>36.730143900000002</v>
      </c>
      <c r="F830" s="2" t="s">
        <v>3041</v>
      </c>
      <c r="G830" s="2" t="s">
        <v>221</v>
      </c>
      <c r="H830" s="2" t="s">
        <v>222</v>
      </c>
      <c r="I830" s="2" t="s">
        <v>222</v>
      </c>
      <c r="J830" s="2" t="s">
        <v>3042</v>
      </c>
      <c r="K830" s="2" t="s">
        <v>22</v>
      </c>
      <c r="L830" s="2" t="s">
        <v>44</v>
      </c>
      <c r="M830" s="3">
        <v>1</v>
      </c>
      <c r="N830" s="3">
        <v>1</v>
      </c>
      <c r="O830" s="9" t="s">
        <v>24</v>
      </c>
      <c r="P830" s="3">
        <v>0</v>
      </c>
    </row>
    <row r="831" spans="1:16" x14ac:dyDescent="0.3">
      <c r="A831" s="2" t="s">
        <v>3043</v>
      </c>
      <c r="B831" s="2" t="s">
        <v>3044</v>
      </c>
      <c r="C831" s="2" t="s">
        <v>18</v>
      </c>
      <c r="D831" s="5">
        <v>41.1349886</v>
      </c>
      <c r="E831" s="5">
        <v>37.288344500000001</v>
      </c>
      <c r="F831" s="2" t="s">
        <v>3045</v>
      </c>
      <c r="G831" s="2" t="s">
        <v>28</v>
      </c>
      <c r="H831" s="2" t="s">
        <v>29</v>
      </c>
      <c r="I831" s="2" t="s">
        <v>30</v>
      </c>
      <c r="J831" s="2" t="s">
        <v>3046</v>
      </c>
      <c r="K831" s="2" t="s">
        <v>63</v>
      </c>
      <c r="L831" s="2" t="s">
        <v>89</v>
      </c>
      <c r="M831" s="3">
        <v>1</v>
      </c>
      <c r="N831" s="3">
        <v>1</v>
      </c>
      <c r="O831" s="9" t="s">
        <v>24</v>
      </c>
      <c r="P831" s="3">
        <v>0</v>
      </c>
    </row>
    <row r="832" spans="1:16" x14ac:dyDescent="0.3">
      <c r="A832" s="2" t="s">
        <v>3047</v>
      </c>
      <c r="B832" s="2" t="s">
        <v>3048</v>
      </c>
      <c r="C832" s="2" t="s">
        <v>18</v>
      </c>
      <c r="D832" s="5">
        <v>40.998514999999998</v>
      </c>
      <c r="E832" s="5">
        <v>37.026420000000002</v>
      </c>
      <c r="F832" s="2" t="s">
        <v>3049</v>
      </c>
      <c r="G832" s="2" t="s">
        <v>28</v>
      </c>
      <c r="H832" s="2" t="s">
        <v>29</v>
      </c>
      <c r="I832" s="2" t="s">
        <v>30</v>
      </c>
      <c r="J832" s="2" t="s">
        <v>3050</v>
      </c>
      <c r="K832" s="2" t="s">
        <v>63</v>
      </c>
      <c r="L832" s="2" t="s">
        <v>89</v>
      </c>
      <c r="M832" s="3">
        <v>1</v>
      </c>
      <c r="N832" s="3">
        <v>1</v>
      </c>
      <c r="O832" s="9" t="s">
        <v>24</v>
      </c>
      <c r="P832" s="3">
        <v>-2173.34</v>
      </c>
    </row>
    <row r="833" spans="1:16" x14ac:dyDescent="0.3">
      <c r="A833" s="2" t="s">
        <v>3051</v>
      </c>
      <c r="B833" s="2" t="s">
        <v>3052</v>
      </c>
      <c r="C833" s="2" t="s">
        <v>18</v>
      </c>
      <c r="D833" s="5">
        <v>40.981883500000002</v>
      </c>
      <c r="E833" s="5">
        <v>35.689914000000002</v>
      </c>
      <c r="F833" s="2" t="s">
        <v>3053</v>
      </c>
      <c r="G833" s="2" t="s">
        <v>28</v>
      </c>
      <c r="H833" s="2" t="s">
        <v>29</v>
      </c>
      <c r="I833" s="2" t="s">
        <v>30</v>
      </c>
      <c r="J833" s="2" t="s">
        <v>3054</v>
      </c>
      <c r="K833" s="2" t="s">
        <v>22</v>
      </c>
      <c r="L833" s="2" t="s">
        <v>193</v>
      </c>
      <c r="M833" s="3">
        <v>1</v>
      </c>
      <c r="N833" s="3">
        <v>1</v>
      </c>
      <c r="O833" s="9" t="s">
        <v>24</v>
      </c>
      <c r="P833" s="3">
        <v>-11.15</v>
      </c>
    </row>
    <row r="834" spans="1:16" x14ac:dyDescent="0.3">
      <c r="A834" s="2" t="s">
        <v>3055</v>
      </c>
      <c r="B834" s="2" t="s">
        <v>3056</v>
      </c>
      <c r="C834" s="2" t="s">
        <v>18</v>
      </c>
      <c r="D834" s="5">
        <v>41.336815000000001</v>
      </c>
      <c r="E834" s="5">
        <v>36.250216700000003</v>
      </c>
      <c r="F834" s="2" t="s">
        <v>54</v>
      </c>
      <c r="G834" s="2" t="s">
        <v>20</v>
      </c>
      <c r="H834" s="2" t="s">
        <v>20</v>
      </c>
      <c r="I834" s="2" t="s">
        <v>1369</v>
      </c>
      <c r="J834" s="2" t="s">
        <v>3057</v>
      </c>
      <c r="K834" s="2" t="s">
        <v>22</v>
      </c>
      <c r="L834" s="2" t="s">
        <v>23</v>
      </c>
      <c r="M834" s="3">
        <v>1</v>
      </c>
      <c r="N834" s="3">
        <v>1</v>
      </c>
      <c r="O834" s="9" t="s">
        <v>54</v>
      </c>
      <c r="P834" s="3">
        <v>0</v>
      </c>
    </row>
    <row r="835" spans="1:16" x14ac:dyDescent="0.3">
      <c r="A835" s="2" t="s">
        <v>3058</v>
      </c>
      <c r="B835" s="2" t="s">
        <v>3059</v>
      </c>
      <c r="C835" s="2" t="s">
        <v>18</v>
      </c>
      <c r="D835" s="5">
        <v>41.324248400000002</v>
      </c>
      <c r="E835" s="5">
        <v>36.268172200000002</v>
      </c>
      <c r="F835" s="2" t="s">
        <v>3060</v>
      </c>
      <c r="G835" s="2" t="s">
        <v>221</v>
      </c>
      <c r="H835" s="2" t="s">
        <v>222</v>
      </c>
      <c r="I835" s="2" t="s">
        <v>222</v>
      </c>
      <c r="J835" s="2" t="s">
        <v>3061</v>
      </c>
      <c r="K835" s="2" t="s">
        <v>22</v>
      </c>
      <c r="L835" s="2" t="s">
        <v>23</v>
      </c>
      <c r="M835" s="3">
        <v>1</v>
      </c>
      <c r="N835" s="3">
        <v>1</v>
      </c>
      <c r="O835" s="9" t="s">
        <v>24</v>
      </c>
      <c r="P835" s="3">
        <v>0</v>
      </c>
    </row>
    <row r="836" spans="1:16" x14ac:dyDescent="0.3">
      <c r="A836" s="2" t="s">
        <v>3062</v>
      </c>
      <c r="B836" s="2" t="s">
        <v>3063</v>
      </c>
      <c r="C836" s="2" t="s">
        <v>18</v>
      </c>
      <c r="D836" s="5">
        <v>41.345305000000003</v>
      </c>
      <c r="E836" s="5">
        <v>36.226309999999998</v>
      </c>
      <c r="F836" s="2" t="s">
        <v>3064</v>
      </c>
      <c r="G836" s="2" t="s">
        <v>221</v>
      </c>
      <c r="H836" s="2" t="s">
        <v>222</v>
      </c>
      <c r="I836" s="2" t="s">
        <v>222</v>
      </c>
      <c r="J836" s="2" t="s">
        <v>3065</v>
      </c>
      <c r="K836" s="2" t="s">
        <v>22</v>
      </c>
      <c r="L836" s="2" t="s">
        <v>23</v>
      </c>
      <c r="M836" s="3">
        <v>2</v>
      </c>
      <c r="N836" s="3">
        <v>1</v>
      </c>
      <c r="O836" s="9" t="s">
        <v>24</v>
      </c>
      <c r="P836" s="3">
        <v>-2601.58</v>
      </c>
    </row>
    <row r="837" spans="1:16" x14ac:dyDescent="0.3">
      <c r="A837" s="2" t="s">
        <v>3066</v>
      </c>
      <c r="B837" s="2" t="s">
        <v>3067</v>
      </c>
      <c r="C837" s="2" t="s">
        <v>18</v>
      </c>
      <c r="D837" s="5">
        <v>41.113416700000002</v>
      </c>
      <c r="E837" s="5">
        <v>35.496956699999998</v>
      </c>
      <c r="F837" s="2" t="s">
        <v>3068</v>
      </c>
      <c r="G837" s="2" t="s">
        <v>28</v>
      </c>
      <c r="H837" s="2" t="s">
        <v>29</v>
      </c>
      <c r="I837" s="2" t="s">
        <v>30</v>
      </c>
      <c r="J837" s="2" t="s">
        <v>3069</v>
      </c>
      <c r="K837" s="2" t="s">
        <v>22</v>
      </c>
      <c r="L837" s="2" t="s">
        <v>164</v>
      </c>
      <c r="M837" s="3">
        <v>1</v>
      </c>
      <c r="N837" s="3">
        <v>1</v>
      </c>
      <c r="O837" s="9" t="s">
        <v>24</v>
      </c>
      <c r="P837" s="3">
        <v>0</v>
      </c>
    </row>
    <row r="838" spans="1:16" x14ac:dyDescent="0.3">
      <c r="A838" s="2" t="s">
        <v>3070</v>
      </c>
      <c r="B838" s="2" t="s">
        <v>3071</v>
      </c>
      <c r="C838" s="2" t="s">
        <v>18</v>
      </c>
      <c r="D838" s="5">
        <v>41.494906700000001</v>
      </c>
      <c r="E838" s="5">
        <v>36.078246100000001</v>
      </c>
      <c r="F838" s="2" t="s">
        <v>3072</v>
      </c>
      <c r="G838" s="2" t="s">
        <v>28</v>
      </c>
      <c r="H838" s="2" t="s">
        <v>29</v>
      </c>
      <c r="I838" s="2" t="s">
        <v>30</v>
      </c>
      <c r="J838" s="2" t="s">
        <v>3073</v>
      </c>
      <c r="K838" s="2" t="s">
        <v>22</v>
      </c>
      <c r="L838" s="2" t="s">
        <v>394</v>
      </c>
      <c r="M838" s="3">
        <v>1</v>
      </c>
      <c r="N838" s="3">
        <v>1</v>
      </c>
      <c r="O838" s="9" t="s">
        <v>54</v>
      </c>
      <c r="P838" s="3">
        <v>0</v>
      </c>
    </row>
    <row r="839" spans="1:16" x14ac:dyDescent="0.3">
      <c r="A839" s="2" t="s">
        <v>3074</v>
      </c>
      <c r="B839" s="2" t="s">
        <v>3075</v>
      </c>
      <c r="C839" s="2" t="s">
        <v>18</v>
      </c>
      <c r="D839" s="5">
        <v>41.142295500000003</v>
      </c>
      <c r="E839" s="5">
        <v>37.281224799999997</v>
      </c>
      <c r="F839" s="2" t="s">
        <v>3076</v>
      </c>
      <c r="G839" s="2" t="s">
        <v>28</v>
      </c>
      <c r="H839" s="2" t="s">
        <v>29</v>
      </c>
      <c r="I839" s="2" t="s">
        <v>30</v>
      </c>
      <c r="J839" s="2" t="s">
        <v>3077</v>
      </c>
      <c r="K839" s="2" t="s">
        <v>63</v>
      </c>
      <c r="L839" s="2" t="s">
        <v>89</v>
      </c>
      <c r="M839" s="3">
        <v>0</v>
      </c>
      <c r="N839" s="3">
        <v>1</v>
      </c>
      <c r="O839" s="9" t="s">
        <v>54</v>
      </c>
      <c r="P839" s="3">
        <v>0</v>
      </c>
    </row>
    <row r="840" spans="1:16" x14ac:dyDescent="0.3">
      <c r="A840" s="2" t="s">
        <v>3078</v>
      </c>
      <c r="B840" s="2" t="s">
        <v>3079</v>
      </c>
      <c r="C840" s="2" t="s">
        <v>18</v>
      </c>
      <c r="D840" s="5">
        <v>41.120551200000001</v>
      </c>
      <c r="E840" s="5">
        <v>36.508341899999998</v>
      </c>
      <c r="F840" s="2" t="s">
        <v>3080</v>
      </c>
      <c r="G840" s="2" t="s">
        <v>28</v>
      </c>
      <c r="H840" s="2" t="s">
        <v>29</v>
      </c>
      <c r="I840" s="2" t="s">
        <v>30</v>
      </c>
      <c r="J840" s="2" t="s">
        <v>3081</v>
      </c>
      <c r="K840" s="2" t="s">
        <v>22</v>
      </c>
      <c r="L840" s="2" t="s">
        <v>39</v>
      </c>
      <c r="M840" s="3">
        <v>1</v>
      </c>
      <c r="N840" s="3">
        <v>1</v>
      </c>
      <c r="O840" s="9" t="s">
        <v>24</v>
      </c>
      <c r="P840" s="3">
        <v>0</v>
      </c>
    </row>
    <row r="841" spans="1:16" x14ac:dyDescent="0.3">
      <c r="A841" s="2" t="s">
        <v>3082</v>
      </c>
      <c r="B841" s="2" t="s">
        <v>3083</v>
      </c>
      <c r="C841" s="2" t="s">
        <v>18</v>
      </c>
      <c r="D841" s="5">
        <v>41.497070999999998</v>
      </c>
      <c r="E841" s="5">
        <v>36.076750099999998</v>
      </c>
      <c r="F841" s="2" t="s">
        <v>3084</v>
      </c>
      <c r="G841" s="2" t="s">
        <v>28</v>
      </c>
      <c r="H841" s="2" t="s">
        <v>29</v>
      </c>
      <c r="I841" s="2" t="s">
        <v>30</v>
      </c>
      <c r="J841" s="2" t="s">
        <v>3085</v>
      </c>
      <c r="K841" s="2" t="s">
        <v>22</v>
      </c>
      <c r="L841" s="2" t="s">
        <v>394</v>
      </c>
      <c r="M841" s="3">
        <v>0</v>
      </c>
      <c r="N841" s="3">
        <v>0</v>
      </c>
      <c r="O841" s="9" t="s">
        <v>24</v>
      </c>
      <c r="P841" s="3">
        <v>0</v>
      </c>
    </row>
    <row r="842" spans="1:16" x14ac:dyDescent="0.3">
      <c r="A842" s="2" t="s">
        <v>3086</v>
      </c>
      <c r="B842" s="2" t="s">
        <v>3087</v>
      </c>
      <c r="C842" s="2" t="s">
        <v>18</v>
      </c>
      <c r="D842" s="5">
        <v>41.303959999999996</v>
      </c>
      <c r="E842" s="5">
        <v>36.323273</v>
      </c>
      <c r="F842" s="2" t="s">
        <v>3088</v>
      </c>
      <c r="G842" s="2" t="s">
        <v>221</v>
      </c>
      <c r="H842" s="2" t="s">
        <v>222</v>
      </c>
      <c r="I842" s="2" t="s">
        <v>222</v>
      </c>
      <c r="J842" s="2" t="s">
        <v>3089</v>
      </c>
      <c r="K842" s="2" t="s">
        <v>22</v>
      </c>
      <c r="L842" s="2" t="s">
        <v>32</v>
      </c>
      <c r="M842" s="3">
        <v>2</v>
      </c>
      <c r="N842" s="3">
        <v>1</v>
      </c>
      <c r="O842" s="9" t="s">
        <v>24</v>
      </c>
      <c r="P842" s="3">
        <v>-1173.29</v>
      </c>
    </row>
    <row r="843" spans="1:16" x14ac:dyDescent="0.3">
      <c r="A843" s="2" t="s">
        <v>3090</v>
      </c>
      <c r="B843" s="2" t="s">
        <v>3091</v>
      </c>
      <c r="C843" s="2" t="s">
        <v>18</v>
      </c>
      <c r="D843" s="5">
        <v>41.405297099999999</v>
      </c>
      <c r="E843" s="5">
        <v>35.962187800000002</v>
      </c>
      <c r="F843" s="2" t="s">
        <v>1151</v>
      </c>
      <c r="G843" s="2" t="s">
        <v>28</v>
      </c>
      <c r="H843" s="2" t="s">
        <v>29</v>
      </c>
      <c r="I843" s="2" t="s">
        <v>30</v>
      </c>
      <c r="J843" s="2" t="s">
        <v>3092</v>
      </c>
      <c r="K843" s="2" t="s">
        <v>22</v>
      </c>
      <c r="L843" s="2" t="s">
        <v>394</v>
      </c>
      <c r="M843" s="3">
        <v>2</v>
      </c>
      <c r="N843" s="3">
        <v>1</v>
      </c>
      <c r="O843" s="9" t="s">
        <v>54</v>
      </c>
      <c r="P843" s="3">
        <v>-0.33</v>
      </c>
    </row>
    <row r="844" spans="1:16" x14ac:dyDescent="0.3">
      <c r="A844" s="2" t="s">
        <v>3093</v>
      </c>
      <c r="B844" s="2" t="s">
        <v>3094</v>
      </c>
      <c r="C844" s="2" t="s">
        <v>18</v>
      </c>
      <c r="D844" s="5">
        <v>40.878945399999999</v>
      </c>
      <c r="E844" s="5">
        <v>36.877448200000003</v>
      </c>
      <c r="F844" s="2" t="s">
        <v>3095</v>
      </c>
      <c r="G844" s="2" t="s">
        <v>28</v>
      </c>
      <c r="H844" s="2" t="s">
        <v>29</v>
      </c>
      <c r="I844" s="2" t="s">
        <v>30</v>
      </c>
      <c r="J844" s="2" t="s">
        <v>3096</v>
      </c>
      <c r="K844" s="2" t="s">
        <v>63</v>
      </c>
      <c r="L844" s="2" t="s">
        <v>64</v>
      </c>
      <c r="M844" s="3">
        <v>1</v>
      </c>
      <c r="N844" s="3">
        <v>1</v>
      </c>
      <c r="O844" s="9" t="s">
        <v>24</v>
      </c>
      <c r="P844" s="3">
        <v>0</v>
      </c>
    </row>
    <row r="845" spans="1:16" x14ac:dyDescent="0.3">
      <c r="A845" s="2" t="s">
        <v>3097</v>
      </c>
      <c r="B845" s="2" t="s">
        <v>3098</v>
      </c>
      <c r="C845" s="2" t="s">
        <v>18</v>
      </c>
      <c r="D845" s="5">
        <v>41.195176799999999</v>
      </c>
      <c r="E845" s="5">
        <v>36.739857800000003</v>
      </c>
      <c r="F845" s="2" t="s">
        <v>3099</v>
      </c>
      <c r="G845" s="2" t="s">
        <v>221</v>
      </c>
      <c r="H845" s="2" t="s">
        <v>222</v>
      </c>
      <c r="I845" s="2" t="s">
        <v>222</v>
      </c>
      <c r="J845" s="2" t="s">
        <v>3100</v>
      </c>
      <c r="K845" s="2" t="s">
        <v>22</v>
      </c>
      <c r="L845" s="2" t="s">
        <v>44</v>
      </c>
      <c r="M845" s="3">
        <v>1</v>
      </c>
      <c r="N845" s="3">
        <v>1</v>
      </c>
      <c r="O845" s="9" t="s">
        <v>24</v>
      </c>
      <c r="P845" s="3">
        <v>-1603.02</v>
      </c>
    </row>
    <row r="846" spans="1:16" x14ac:dyDescent="0.3">
      <c r="A846" s="2" t="s">
        <v>3101</v>
      </c>
      <c r="B846" s="2" t="s">
        <v>3102</v>
      </c>
      <c r="C846" s="2" t="s">
        <v>18</v>
      </c>
      <c r="D846" s="5">
        <v>41.288491700000002</v>
      </c>
      <c r="E846" s="5">
        <v>36.315363300000001</v>
      </c>
      <c r="F846" s="2" t="s">
        <v>3103</v>
      </c>
      <c r="G846" s="2" t="s">
        <v>221</v>
      </c>
      <c r="H846" s="2" t="s">
        <v>222</v>
      </c>
      <c r="I846" s="2" t="s">
        <v>222</v>
      </c>
      <c r="J846" s="2" t="s">
        <v>3104</v>
      </c>
      <c r="K846" s="2" t="s">
        <v>22</v>
      </c>
      <c r="L846" s="2" t="s">
        <v>32</v>
      </c>
      <c r="M846" s="3">
        <v>1</v>
      </c>
      <c r="N846" s="3">
        <v>1</v>
      </c>
      <c r="O846" s="9" t="s">
        <v>24</v>
      </c>
      <c r="P846" s="3">
        <v>0</v>
      </c>
    </row>
    <row r="847" spans="1:16" x14ac:dyDescent="0.3">
      <c r="A847" s="2" t="s">
        <v>3105</v>
      </c>
      <c r="B847" s="2" t="s">
        <v>3106</v>
      </c>
      <c r="C847" s="2" t="s">
        <v>18</v>
      </c>
      <c r="D847" s="5">
        <v>0</v>
      </c>
      <c r="E847" s="5">
        <v>0</v>
      </c>
      <c r="F847" s="2" t="s">
        <v>1768</v>
      </c>
      <c r="G847" s="2" t="s">
        <v>28</v>
      </c>
      <c r="H847" s="2" t="s">
        <v>29</v>
      </c>
      <c r="I847" s="2" t="s">
        <v>30</v>
      </c>
      <c r="J847" s="2" t="s">
        <v>3107</v>
      </c>
      <c r="K847" s="2" t="s">
        <v>22</v>
      </c>
      <c r="L847" s="2" t="s">
        <v>328</v>
      </c>
      <c r="M847" s="3">
        <v>0</v>
      </c>
      <c r="N847" s="3">
        <v>0</v>
      </c>
      <c r="O847" s="9" t="s">
        <v>24</v>
      </c>
      <c r="P847" s="3">
        <v>0</v>
      </c>
    </row>
    <row r="848" spans="1:16" x14ac:dyDescent="0.3">
      <c r="A848" s="2" t="s">
        <v>3108</v>
      </c>
      <c r="B848" s="2" t="s">
        <v>3109</v>
      </c>
      <c r="C848" s="2" t="s">
        <v>18</v>
      </c>
      <c r="D848" s="5">
        <v>41.164293600000001</v>
      </c>
      <c r="E848" s="5">
        <v>36.768763700000001</v>
      </c>
      <c r="F848" s="2" t="s">
        <v>3110</v>
      </c>
      <c r="G848" s="2" t="s">
        <v>28</v>
      </c>
      <c r="H848" s="2" t="s">
        <v>29</v>
      </c>
      <c r="I848" s="2" t="s">
        <v>30</v>
      </c>
      <c r="J848" s="2" t="s">
        <v>3111</v>
      </c>
      <c r="K848" s="2" t="s">
        <v>22</v>
      </c>
      <c r="L848" s="2" t="s">
        <v>44</v>
      </c>
      <c r="M848" s="3">
        <v>1</v>
      </c>
      <c r="N848" s="3">
        <v>1</v>
      </c>
      <c r="O848" s="9" t="s">
        <v>24</v>
      </c>
      <c r="P848" s="3">
        <v>0</v>
      </c>
    </row>
    <row r="849" spans="1:16" x14ac:dyDescent="0.3">
      <c r="A849" s="2" t="s">
        <v>3112</v>
      </c>
      <c r="B849" s="2" t="s">
        <v>3113</v>
      </c>
      <c r="C849" s="2" t="s">
        <v>18</v>
      </c>
      <c r="D849" s="5">
        <v>40.908546399999999</v>
      </c>
      <c r="E849" s="5">
        <v>35.895450199999999</v>
      </c>
      <c r="F849" s="2" t="s">
        <v>54</v>
      </c>
      <c r="G849" s="2" t="s">
        <v>259</v>
      </c>
      <c r="H849" s="2" t="s">
        <v>260</v>
      </c>
      <c r="I849" s="2" t="s">
        <v>260</v>
      </c>
      <c r="J849" s="2" t="s">
        <v>3114</v>
      </c>
      <c r="K849" s="2" t="s">
        <v>22</v>
      </c>
      <c r="L849" s="2" t="s">
        <v>76</v>
      </c>
      <c r="M849" s="3">
        <v>1</v>
      </c>
      <c r="N849" s="3">
        <v>1</v>
      </c>
      <c r="O849" s="9" t="s">
        <v>24</v>
      </c>
      <c r="P849" s="3">
        <v>0</v>
      </c>
    </row>
    <row r="850" spans="1:16" x14ac:dyDescent="0.3">
      <c r="A850" s="2" t="s">
        <v>3115</v>
      </c>
      <c r="B850" s="2" t="s">
        <v>3116</v>
      </c>
      <c r="C850" s="2" t="s">
        <v>18</v>
      </c>
      <c r="D850" s="5">
        <v>41.193536399999999</v>
      </c>
      <c r="E850" s="5">
        <v>36.7121049</v>
      </c>
      <c r="F850" s="2" t="s">
        <v>3117</v>
      </c>
      <c r="G850" s="2" t="s">
        <v>221</v>
      </c>
      <c r="H850" s="2" t="s">
        <v>222</v>
      </c>
      <c r="I850" s="2" t="s">
        <v>222</v>
      </c>
      <c r="J850" s="2" t="s">
        <v>3118</v>
      </c>
      <c r="K850" s="2" t="s">
        <v>22</v>
      </c>
      <c r="L850" s="2" t="s">
        <v>44</v>
      </c>
      <c r="M850" s="3">
        <v>1</v>
      </c>
      <c r="N850" s="3">
        <v>1</v>
      </c>
      <c r="O850" s="9" t="s">
        <v>24</v>
      </c>
      <c r="P850" s="3">
        <v>-691.49</v>
      </c>
    </row>
    <row r="851" spans="1:16" x14ac:dyDescent="0.3">
      <c r="A851" s="2" t="s">
        <v>3119</v>
      </c>
      <c r="B851" s="2" t="s">
        <v>3120</v>
      </c>
      <c r="C851" s="2" t="s">
        <v>18</v>
      </c>
      <c r="D851" s="5">
        <v>41.3222697</v>
      </c>
      <c r="E851" s="5">
        <v>36.330920499999998</v>
      </c>
      <c r="F851" s="2" t="s">
        <v>3121</v>
      </c>
      <c r="G851" s="2" t="s">
        <v>28</v>
      </c>
      <c r="H851" s="2" t="s">
        <v>29</v>
      </c>
      <c r="I851" s="2" t="s">
        <v>30</v>
      </c>
      <c r="J851" s="2" t="s">
        <v>3122</v>
      </c>
      <c r="K851" s="2" t="s">
        <v>22</v>
      </c>
      <c r="L851" s="2" t="s">
        <v>32</v>
      </c>
      <c r="M851" s="3">
        <v>0</v>
      </c>
      <c r="N851" s="3">
        <v>0</v>
      </c>
      <c r="O851" s="9" t="s">
        <v>24</v>
      </c>
      <c r="P851" s="3">
        <v>0</v>
      </c>
    </row>
    <row r="852" spans="1:16" x14ac:dyDescent="0.3">
      <c r="A852" s="2" t="s">
        <v>3123</v>
      </c>
      <c r="B852" s="2" t="s">
        <v>3124</v>
      </c>
      <c r="C852" s="2" t="s">
        <v>18</v>
      </c>
      <c r="D852" s="5">
        <v>41.260264999999997</v>
      </c>
      <c r="E852" s="5">
        <v>36.3274233</v>
      </c>
      <c r="F852" s="2" t="s">
        <v>3125</v>
      </c>
      <c r="G852" s="2" t="s">
        <v>28</v>
      </c>
      <c r="H852" s="2" t="s">
        <v>29</v>
      </c>
      <c r="I852" s="2" t="s">
        <v>30</v>
      </c>
      <c r="J852" s="2" t="s">
        <v>3126</v>
      </c>
      <c r="K852" s="2" t="s">
        <v>22</v>
      </c>
      <c r="L852" s="2" t="s">
        <v>32</v>
      </c>
      <c r="M852" s="3">
        <v>0</v>
      </c>
      <c r="N852" s="3">
        <v>1</v>
      </c>
      <c r="O852" s="9" t="s">
        <v>24</v>
      </c>
      <c r="P852" s="3">
        <v>-239.52</v>
      </c>
    </row>
    <row r="853" spans="1:16" x14ac:dyDescent="0.3">
      <c r="A853" s="2" t="s">
        <v>3127</v>
      </c>
      <c r="B853" s="2" t="s">
        <v>3128</v>
      </c>
      <c r="C853" s="2" t="s">
        <v>18</v>
      </c>
      <c r="D853" s="5">
        <v>41.337675099999998</v>
      </c>
      <c r="E853" s="5">
        <v>36.259634699999999</v>
      </c>
      <c r="F853" s="2" t="s">
        <v>3129</v>
      </c>
      <c r="G853" s="2" t="s">
        <v>28</v>
      </c>
      <c r="H853" s="2" t="s">
        <v>29</v>
      </c>
      <c r="I853" s="2" t="s">
        <v>30</v>
      </c>
      <c r="J853" s="2" t="s">
        <v>3130</v>
      </c>
      <c r="K853" s="2" t="s">
        <v>22</v>
      </c>
      <c r="L853" s="2" t="s">
        <v>23</v>
      </c>
      <c r="M853" s="3">
        <v>3</v>
      </c>
      <c r="N853" s="3">
        <v>1</v>
      </c>
      <c r="O853" s="9" t="s">
        <v>24</v>
      </c>
      <c r="P853" s="3">
        <v>0</v>
      </c>
    </row>
    <row r="854" spans="1:16" x14ac:dyDescent="0.3">
      <c r="A854" s="2" t="s">
        <v>3131</v>
      </c>
      <c r="B854" s="2" t="s">
        <v>3132</v>
      </c>
      <c r="C854" s="2" t="s">
        <v>18</v>
      </c>
      <c r="D854" s="5">
        <v>41.1256293</v>
      </c>
      <c r="E854" s="5">
        <v>37.275886200000002</v>
      </c>
      <c r="F854" s="2" t="s">
        <v>3133</v>
      </c>
      <c r="G854" s="2" t="s">
        <v>28</v>
      </c>
      <c r="H854" s="2" t="s">
        <v>29</v>
      </c>
      <c r="I854" s="2" t="s">
        <v>30</v>
      </c>
      <c r="J854" s="2" t="s">
        <v>3134</v>
      </c>
      <c r="K854" s="2" t="s">
        <v>63</v>
      </c>
      <c r="L854" s="2" t="s">
        <v>89</v>
      </c>
      <c r="M854" s="3">
        <v>1</v>
      </c>
      <c r="N854" s="3">
        <v>1</v>
      </c>
      <c r="O854" s="9" t="s">
        <v>54</v>
      </c>
      <c r="P854" s="3">
        <v>0</v>
      </c>
    </row>
    <row r="855" spans="1:16" x14ac:dyDescent="0.3">
      <c r="A855" s="2" t="s">
        <v>3135</v>
      </c>
      <c r="B855" s="2" t="s">
        <v>3136</v>
      </c>
      <c r="C855" s="2" t="s">
        <v>18</v>
      </c>
      <c r="D855" s="5">
        <v>41.278945100000001</v>
      </c>
      <c r="E855" s="5">
        <v>36.328403299999998</v>
      </c>
      <c r="F855" s="2" t="s">
        <v>3137</v>
      </c>
      <c r="G855" s="2" t="s">
        <v>28</v>
      </c>
      <c r="H855" s="2" t="s">
        <v>29</v>
      </c>
      <c r="I855" s="2" t="s">
        <v>30</v>
      </c>
      <c r="J855" s="2" t="s">
        <v>3138</v>
      </c>
      <c r="K855" s="2" t="s">
        <v>22</v>
      </c>
      <c r="L855" s="2" t="s">
        <v>32</v>
      </c>
      <c r="M855" s="3">
        <v>1</v>
      </c>
      <c r="N855" s="3">
        <v>1</v>
      </c>
      <c r="O855" s="9" t="s">
        <v>24</v>
      </c>
      <c r="P855" s="3">
        <v>-0.52</v>
      </c>
    </row>
    <row r="856" spans="1:16" x14ac:dyDescent="0.3">
      <c r="A856" s="2" t="s">
        <v>3139</v>
      </c>
      <c r="B856" s="2" t="s">
        <v>3140</v>
      </c>
      <c r="C856" s="2" t="s">
        <v>18</v>
      </c>
      <c r="D856" s="5">
        <v>41.615248399999999</v>
      </c>
      <c r="E856" s="5">
        <v>35.604698200000001</v>
      </c>
      <c r="F856" s="2" t="s">
        <v>3141</v>
      </c>
      <c r="G856" s="2" t="s">
        <v>221</v>
      </c>
      <c r="H856" s="2" t="s">
        <v>222</v>
      </c>
      <c r="I856" s="2" t="s">
        <v>222</v>
      </c>
      <c r="J856" s="2" t="s">
        <v>3142</v>
      </c>
      <c r="K856" s="2" t="s">
        <v>22</v>
      </c>
      <c r="L856" s="2" t="s">
        <v>265</v>
      </c>
      <c r="M856" s="3">
        <v>1</v>
      </c>
      <c r="N856" s="3">
        <v>1</v>
      </c>
      <c r="O856" s="9" t="s">
        <v>24</v>
      </c>
      <c r="P856" s="3">
        <v>0</v>
      </c>
    </row>
    <row r="857" spans="1:16" x14ac:dyDescent="0.3">
      <c r="A857" s="2" t="s">
        <v>3143</v>
      </c>
      <c r="B857" s="2" t="s">
        <v>3144</v>
      </c>
      <c r="C857" s="2" t="s">
        <v>18</v>
      </c>
      <c r="D857" s="5">
        <v>41.291383400000001</v>
      </c>
      <c r="E857" s="5">
        <v>36.317133499999997</v>
      </c>
      <c r="F857" s="2" t="s">
        <v>3145</v>
      </c>
      <c r="G857" s="2" t="s">
        <v>221</v>
      </c>
      <c r="H857" s="2" t="s">
        <v>222</v>
      </c>
      <c r="I857" s="2" t="s">
        <v>222</v>
      </c>
      <c r="J857" s="2" t="s">
        <v>3146</v>
      </c>
      <c r="K857" s="2" t="s">
        <v>22</v>
      </c>
      <c r="L857" s="2" t="s">
        <v>32</v>
      </c>
      <c r="M857" s="3">
        <v>1</v>
      </c>
      <c r="N857" s="3">
        <v>1</v>
      </c>
      <c r="O857" s="9" t="s">
        <v>24</v>
      </c>
      <c r="P857" s="3">
        <v>-1.81</v>
      </c>
    </row>
    <row r="858" spans="1:16" x14ac:dyDescent="0.3">
      <c r="A858" s="2" t="s">
        <v>3147</v>
      </c>
      <c r="B858" s="2" t="s">
        <v>3148</v>
      </c>
      <c r="C858" s="2" t="s">
        <v>18</v>
      </c>
      <c r="D858" s="5">
        <v>41.491770000000002</v>
      </c>
      <c r="E858" s="5">
        <v>36.073411999999998</v>
      </c>
      <c r="F858" s="2" t="s">
        <v>3149</v>
      </c>
      <c r="G858" s="2" t="s">
        <v>28</v>
      </c>
      <c r="H858" s="2" t="s">
        <v>29</v>
      </c>
      <c r="I858" s="2" t="s">
        <v>30</v>
      </c>
      <c r="J858" s="2" t="s">
        <v>3150</v>
      </c>
      <c r="K858" s="2" t="s">
        <v>22</v>
      </c>
      <c r="L858" s="2" t="s">
        <v>394</v>
      </c>
      <c r="M858" s="3">
        <v>1</v>
      </c>
      <c r="N858" s="3">
        <v>1</v>
      </c>
      <c r="O858" s="9" t="s">
        <v>24</v>
      </c>
      <c r="P858" s="3">
        <v>-2.11</v>
      </c>
    </row>
    <row r="859" spans="1:16" x14ac:dyDescent="0.3">
      <c r="A859" s="2" t="s">
        <v>3151</v>
      </c>
      <c r="B859" s="2" t="s">
        <v>3152</v>
      </c>
      <c r="C859" s="2" t="s">
        <v>18</v>
      </c>
      <c r="D859" s="5">
        <v>41.548854800000001</v>
      </c>
      <c r="E859" s="5">
        <v>35.926498500000001</v>
      </c>
      <c r="F859" s="2" t="s">
        <v>3153</v>
      </c>
      <c r="G859" s="2" t="s">
        <v>221</v>
      </c>
      <c r="H859" s="2" t="s">
        <v>1049</v>
      </c>
      <c r="I859" s="2" t="s">
        <v>1049</v>
      </c>
      <c r="J859" s="2" t="s">
        <v>3154</v>
      </c>
      <c r="K859" s="2" t="s">
        <v>22</v>
      </c>
      <c r="L859" s="2" t="s">
        <v>53</v>
      </c>
      <c r="M859" s="3">
        <v>0</v>
      </c>
      <c r="N859" s="3">
        <v>0</v>
      </c>
      <c r="O859" s="9" t="s">
        <v>24</v>
      </c>
      <c r="P859" s="3">
        <v>0</v>
      </c>
    </row>
    <row r="860" spans="1:16" x14ac:dyDescent="0.3">
      <c r="A860" s="2" t="s">
        <v>3155</v>
      </c>
      <c r="B860" s="2" t="s">
        <v>3156</v>
      </c>
      <c r="C860" s="2" t="s">
        <v>18</v>
      </c>
      <c r="D860" s="5">
        <v>41.137920236177003</v>
      </c>
      <c r="E860" s="5">
        <v>35.465565413514</v>
      </c>
      <c r="F860" s="2" t="s">
        <v>1768</v>
      </c>
      <c r="G860" s="2" t="s">
        <v>221</v>
      </c>
      <c r="H860" s="2" t="s">
        <v>222</v>
      </c>
      <c r="I860" s="2" t="s">
        <v>222</v>
      </c>
      <c r="J860" s="2" t="s">
        <v>244</v>
      </c>
      <c r="K860" s="2" t="s">
        <v>22</v>
      </c>
      <c r="L860" s="2" t="s">
        <v>164</v>
      </c>
      <c r="M860" s="3">
        <v>0</v>
      </c>
      <c r="N860" s="3">
        <v>0</v>
      </c>
      <c r="O860" s="9" t="s">
        <v>24</v>
      </c>
      <c r="P860" s="3">
        <v>0</v>
      </c>
    </row>
    <row r="861" spans="1:16" x14ac:dyDescent="0.3">
      <c r="A861" s="2" t="s">
        <v>3157</v>
      </c>
      <c r="B861" s="2" t="s">
        <v>3158</v>
      </c>
      <c r="C861" s="2" t="s">
        <v>18</v>
      </c>
      <c r="D861" s="5">
        <v>41.079315600000001</v>
      </c>
      <c r="E861" s="5">
        <v>36.042213199999999</v>
      </c>
      <c r="F861" s="2" t="s">
        <v>1289</v>
      </c>
      <c r="G861" s="2" t="s">
        <v>221</v>
      </c>
      <c r="H861" s="2" t="s">
        <v>222</v>
      </c>
      <c r="I861" s="2" t="s">
        <v>222</v>
      </c>
      <c r="J861" s="2" t="s">
        <v>3159</v>
      </c>
      <c r="K861" s="2" t="s">
        <v>22</v>
      </c>
      <c r="L861" s="2" t="s">
        <v>224</v>
      </c>
      <c r="M861" s="3">
        <v>0</v>
      </c>
      <c r="N861" s="3">
        <v>0</v>
      </c>
      <c r="O861" s="9" t="s">
        <v>24</v>
      </c>
      <c r="P861" s="3">
        <v>0</v>
      </c>
    </row>
    <row r="862" spans="1:16" x14ac:dyDescent="0.3">
      <c r="A862" s="2" t="s">
        <v>3160</v>
      </c>
      <c r="B862" s="2" t="s">
        <v>3161</v>
      </c>
      <c r="C862" s="2" t="s">
        <v>18</v>
      </c>
      <c r="D862" s="5">
        <v>41.068748900000003</v>
      </c>
      <c r="E862" s="5">
        <v>36.025341099999999</v>
      </c>
      <c r="F862" s="2" t="s">
        <v>1289</v>
      </c>
      <c r="G862" s="2" t="s">
        <v>221</v>
      </c>
      <c r="H862" s="2" t="s">
        <v>222</v>
      </c>
      <c r="I862" s="2" t="s">
        <v>222</v>
      </c>
      <c r="J862" s="2" t="s">
        <v>3159</v>
      </c>
      <c r="K862" s="2" t="s">
        <v>22</v>
      </c>
      <c r="L862" s="2" t="s">
        <v>224</v>
      </c>
      <c r="M862" s="3">
        <v>0</v>
      </c>
      <c r="N862" s="3">
        <v>1</v>
      </c>
      <c r="O862" s="9" t="s">
        <v>54</v>
      </c>
      <c r="P862" s="3">
        <v>0</v>
      </c>
    </row>
    <row r="863" spans="1:16" x14ac:dyDescent="0.3">
      <c r="A863" s="2" t="s">
        <v>3162</v>
      </c>
      <c r="B863" s="2" t="s">
        <v>3163</v>
      </c>
      <c r="C863" s="2" t="s">
        <v>18</v>
      </c>
      <c r="D863" s="5">
        <v>41.0705417</v>
      </c>
      <c r="E863" s="5">
        <v>36.029448299999999</v>
      </c>
      <c r="F863" s="2" t="s">
        <v>1289</v>
      </c>
      <c r="G863" s="2" t="s">
        <v>221</v>
      </c>
      <c r="H863" s="2" t="s">
        <v>222</v>
      </c>
      <c r="I863" s="2" t="s">
        <v>222</v>
      </c>
      <c r="J863" s="2" t="s">
        <v>3164</v>
      </c>
      <c r="K863" s="2" t="s">
        <v>22</v>
      </c>
      <c r="L863" s="2" t="s">
        <v>224</v>
      </c>
      <c r="M863" s="3">
        <v>0</v>
      </c>
      <c r="N863" s="3">
        <v>0</v>
      </c>
      <c r="O863" s="9" t="s">
        <v>24</v>
      </c>
      <c r="P863" s="3">
        <v>0</v>
      </c>
    </row>
    <row r="864" spans="1:16" x14ac:dyDescent="0.3">
      <c r="A864" s="2" t="s">
        <v>3165</v>
      </c>
      <c r="B864" s="2" t="s">
        <v>3166</v>
      </c>
      <c r="C864" s="2" t="s">
        <v>18</v>
      </c>
      <c r="D864" s="5">
        <v>41.068613900000003</v>
      </c>
      <c r="E864" s="5">
        <v>36.025624299999997</v>
      </c>
      <c r="F864" s="2" t="s">
        <v>1289</v>
      </c>
      <c r="G864" s="2" t="s">
        <v>221</v>
      </c>
      <c r="H864" s="2" t="s">
        <v>222</v>
      </c>
      <c r="I864" s="2" t="s">
        <v>222</v>
      </c>
      <c r="J864" s="2" t="s">
        <v>3159</v>
      </c>
      <c r="K864" s="2" t="s">
        <v>22</v>
      </c>
      <c r="L864" s="2" t="s">
        <v>224</v>
      </c>
      <c r="M864" s="3">
        <v>0</v>
      </c>
      <c r="N864" s="3">
        <v>0</v>
      </c>
      <c r="O864" s="9" t="s">
        <v>24</v>
      </c>
      <c r="P864" s="3">
        <v>0</v>
      </c>
    </row>
    <row r="865" spans="1:16" x14ac:dyDescent="0.3">
      <c r="A865" s="2" t="s">
        <v>3167</v>
      </c>
      <c r="B865" s="2" t="s">
        <v>3168</v>
      </c>
      <c r="C865" s="2" t="s">
        <v>18</v>
      </c>
      <c r="D865" s="5">
        <v>41.138635396426999</v>
      </c>
      <c r="E865" s="5">
        <v>35.465693215590001</v>
      </c>
      <c r="F865" s="2" t="s">
        <v>1768</v>
      </c>
      <c r="G865" s="2" t="s">
        <v>221</v>
      </c>
      <c r="H865" s="2" t="s">
        <v>222</v>
      </c>
      <c r="I865" s="2" t="s">
        <v>222</v>
      </c>
      <c r="J865" s="2" t="s">
        <v>244</v>
      </c>
      <c r="K865" s="2" t="s">
        <v>22</v>
      </c>
      <c r="L865" s="2" t="s">
        <v>164</v>
      </c>
      <c r="M865" s="3">
        <v>0</v>
      </c>
      <c r="N865" s="3">
        <v>0</v>
      </c>
      <c r="O865" s="9" t="s">
        <v>24</v>
      </c>
      <c r="P865" s="3">
        <v>0</v>
      </c>
    </row>
    <row r="866" spans="1:16" x14ac:dyDescent="0.3">
      <c r="A866" s="2" t="s">
        <v>3169</v>
      </c>
      <c r="B866" s="2" t="s">
        <v>3170</v>
      </c>
      <c r="C866" s="2" t="s">
        <v>18</v>
      </c>
      <c r="D866" s="5">
        <v>41.138648215516</v>
      </c>
      <c r="E866" s="5">
        <v>35.465704736966998</v>
      </c>
      <c r="F866" s="2" t="s">
        <v>243</v>
      </c>
      <c r="G866" s="2" t="s">
        <v>221</v>
      </c>
      <c r="H866" s="2" t="s">
        <v>222</v>
      </c>
      <c r="I866" s="2" t="s">
        <v>222</v>
      </c>
      <c r="J866" s="2" t="s">
        <v>244</v>
      </c>
      <c r="K866" s="2" t="s">
        <v>22</v>
      </c>
      <c r="L866" s="2" t="s">
        <v>164</v>
      </c>
      <c r="M866" s="3">
        <v>1</v>
      </c>
      <c r="N866" s="3">
        <v>1</v>
      </c>
      <c r="O866" s="9" t="s">
        <v>54</v>
      </c>
      <c r="P866" s="3">
        <v>0</v>
      </c>
    </row>
    <row r="867" spans="1:16" x14ac:dyDescent="0.3">
      <c r="A867" s="2" t="s">
        <v>3171</v>
      </c>
      <c r="B867" s="2" t="s">
        <v>3172</v>
      </c>
      <c r="C867" s="2" t="s">
        <v>18</v>
      </c>
      <c r="D867" s="5">
        <v>41.260267599999999</v>
      </c>
      <c r="E867" s="5">
        <v>36.314018300000001</v>
      </c>
      <c r="F867" s="2" t="s">
        <v>3173</v>
      </c>
      <c r="G867" s="2" t="s">
        <v>221</v>
      </c>
      <c r="H867" s="2" t="s">
        <v>222</v>
      </c>
      <c r="I867" s="2" t="s">
        <v>222</v>
      </c>
      <c r="J867" s="2" t="s">
        <v>3174</v>
      </c>
      <c r="K867" s="2" t="s">
        <v>22</v>
      </c>
      <c r="L867" s="2" t="s">
        <v>32</v>
      </c>
      <c r="M867" s="3">
        <v>0</v>
      </c>
      <c r="N867" s="3">
        <v>1</v>
      </c>
      <c r="O867" s="9" t="s">
        <v>24</v>
      </c>
      <c r="P867" s="3">
        <v>-0.11</v>
      </c>
    </row>
    <row r="868" spans="1:16" x14ac:dyDescent="0.3">
      <c r="A868" s="2" t="s">
        <v>3175</v>
      </c>
      <c r="B868" s="2" t="s">
        <v>1767</v>
      </c>
      <c r="C868" s="2" t="s">
        <v>18</v>
      </c>
      <c r="D868" s="5">
        <v>41.190656199999999</v>
      </c>
      <c r="E868" s="5">
        <v>36.705402599999999</v>
      </c>
      <c r="F868" s="2" t="s">
        <v>3176</v>
      </c>
      <c r="G868" s="2" t="s">
        <v>221</v>
      </c>
      <c r="H868" s="2" t="s">
        <v>1049</v>
      </c>
      <c r="I868" s="2" t="s">
        <v>1049</v>
      </c>
      <c r="J868" s="2" t="s">
        <v>1769</v>
      </c>
      <c r="K868" s="2" t="s">
        <v>22</v>
      </c>
      <c r="L868" s="2" t="s">
        <v>44</v>
      </c>
      <c r="M868" s="3">
        <v>0</v>
      </c>
      <c r="N868" s="3">
        <v>1</v>
      </c>
      <c r="O868" s="9" t="s">
        <v>24</v>
      </c>
      <c r="P868" s="3">
        <v>-0.04</v>
      </c>
    </row>
    <row r="869" spans="1:16" x14ac:dyDescent="0.3">
      <c r="A869" s="2" t="s">
        <v>3177</v>
      </c>
      <c r="B869" s="2" t="s">
        <v>3178</v>
      </c>
      <c r="C869" s="2" t="s">
        <v>18</v>
      </c>
      <c r="D869" s="5">
        <v>41.091018099999999</v>
      </c>
      <c r="E869" s="5">
        <v>36.6739301</v>
      </c>
      <c r="F869" s="2" t="s">
        <v>54</v>
      </c>
      <c r="G869" s="2" t="s">
        <v>20</v>
      </c>
      <c r="H869" s="2" t="s">
        <v>20</v>
      </c>
      <c r="I869" s="2" t="s">
        <v>1369</v>
      </c>
      <c r="J869" s="2" t="s">
        <v>3179</v>
      </c>
      <c r="K869" s="2" t="s">
        <v>22</v>
      </c>
      <c r="L869" s="2" t="s">
        <v>44</v>
      </c>
      <c r="M869" s="3">
        <v>2</v>
      </c>
      <c r="N869" s="3">
        <v>1</v>
      </c>
      <c r="O869" s="9" t="s">
        <v>24</v>
      </c>
      <c r="P869" s="3">
        <v>0</v>
      </c>
    </row>
    <row r="870" spans="1:16" x14ac:dyDescent="0.3">
      <c r="A870" s="2" t="s">
        <v>3180</v>
      </c>
      <c r="B870" s="2" t="s">
        <v>3181</v>
      </c>
      <c r="C870" s="2" t="s">
        <v>18</v>
      </c>
      <c r="D870" s="5">
        <v>41.362783100000001</v>
      </c>
      <c r="E870" s="5">
        <v>36.179004499999998</v>
      </c>
      <c r="F870" s="2" t="s">
        <v>54</v>
      </c>
      <c r="G870" s="2" t="s">
        <v>221</v>
      </c>
      <c r="H870" s="2" t="s">
        <v>926</v>
      </c>
      <c r="I870" s="2" t="s">
        <v>926</v>
      </c>
      <c r="J870" s="2" t="s">
        <v>3182</v>
      </c>
      <c r="K870" s="2" t="s">
        <v>22</v>
      </c>
      <c r="L870" s="2" t="s">
        <v>23</v>
      </c>
      <c r="M870" s="3">
        <v>1</v>
      </c>
      <c r="N870" s="3">
        <v>1</v>
      </c>
      <c r="O870" s="9" t="s">
        <v>24</v>
      </c>
      <c r="P870" s="3">
        <v>0</v>
      </c>
    </row>
    <row r="871" spans="1:16" x14ac:dyDescent="0.3">
      <c r="A871" s="2" t="s">
        <v>3183</v>
      </c>
      <c r="B871" s="2" t="s">
        <v>3184</v>
      </c>
      <c r="C871" s="2" t="s">
        <v>18</v>
      </c>
      <c r="D871" s="5">
        <v>41.789995699999999</v>
      </c>
      <c r="E871" s="5">
        <v>34.985582800000003</v>
      </c>
      <c r="F871" s="2" t="s">
        <v>3185</v>
      </c>
      <c r="G871" s="2" t="s">
        <v>28</v>
      </c>
      <c r="H871" s="2" t="s">
        <v>29</v>
      </c>
      <c r="I871" s="2" t="s">
        <v>30</v>
      </c>
      <c r="J871" s="2" t="s">
        <v>3186</v>
      </c>
      <c r="K871" s="2" t="s">
        <v>154</v>
      </c>
      <c r="L871" s="2" t="s">
        <v>155</v>
      </c>
      <c r="M871" s="3">
        <v>0</v>
      </c>
      <c r="N871" s="3">
        <v>1</v>
      </c>
      <c r="O871" s="9" t="s">
        <v>24</v>
      </c>
      <c r="P871" s="3">
        <v>0</v>
      </c>
    </row>
    <row r="872" spans="1:16" x14ac:dyDescent="0.3">
      <c r="A872" s="2" t="s">
        <v>3187</v>
      </c>
      <c r="B872" s="2" t="s">
        <v>3188</v>
      </c>
      <c r="C872" s="2" t="s">
        <v>18</v>
      </c>
      <c r="D872" s="5">
        <v>41.258608199999998</v>
      </c>
      <c r="E872" s="5">
        <v>36.355406700000003</v>
      </c>
      <c r="F872" s="2" t="s">
        <v>3189</v>
      </c>
      <c r="G872" s="2" t="s">
        <v>28</v>
      </c>
      <c r="H872" s="2" t="s">
        <v>29</v>
      </c>
      <c r="I872" s="2" t="s">
        <v>30</v>
      </c>
      <c r="J872" s="2" t="s">
        <v>3190</v>
      </c>
      <c r="K872" s="2" t="s">
        <v>22</v>
      </c>
      <c r="L872" s="2" t="s">
        <v>99</v>
      </c>
      <c r="M872" s="3">
        <v>0</v>
      </c>
      <c r="N872" s="3">
        <v>1</v>
      </c>
      <c r="O872" s="9" t="s">
        <v>54</v>
      </c>
      <c r="P872" s="3">
        <v>0</v>
      </c>
    </row>
    <row r="873" spans="1:16" x14ac:dyDescent="0.3">
      <c r="A873" s="2" t="s">
        <v>3191</v>
      </c>
      <c r="B873" s="2" t="s">
        <v>3192</v>
      </c>
      <c r="C873" s="2" t="s">
        <v>18</v>
      </c>
      <c r="D873" s="5">
        <v>41.269226699999997</v>
      </c>
      <c r="E873" s="5">
        <v>36.351168299999998</v>
      </c>
      <c r="F873" s="2" t="s">
        <v>3193</v>
      </c>
      <c r="G873" s="2" t="s">
        <v>28</v>
      </c>
      <c r="H873" s="2" t="s">
        <v>29</v>
      </c>
      <c r="I873" s="2" t="s">
        <v>30</v>
      </c>
      <c r="J873" s="2" t="s">
        <v>3194</v>
      </c>
      <c r="K873" s="2" t="s">
        <v>22</v>
      </c>
      <c r="L873" s="2" t="s">
        <v>39</v>
      </c>
      <c r="M873" s="3">
        <v>0</v>
      </c>
      <c r="N873" s="3">
        <v>1</v>
      </c>
      <c r="O873" s="9" t="s">
        <v>24</v>
      </c>
      <c r="P873" s="3">
        <v>0</v>
      </c>
    </row>
    <row r="874" spans="1:16" x14ac:dyDescent="0.3">
      <c r="A874" s="2" t="s">
        <v>3195</v>
      </c>
      <c r="B874" s="2" t="s">
        <v>3196</v>
      </c>
      <c r="C874" s="2" t="s">
        <v>18</v>
      </c>
      <c r="D874" s="5">
        <v>41.335884800000002</v>
      </c>
      <c r="E874" s="5">
        <v>36.262373199999999</v>
      </c>
      <c r="F874" s="2" t="s">
        <v>3197</v>
      </c>
      <c r="G874" s="2" t="s">
        <v>28</v>
      </c>
      <c r="H874" s="2" t="s">
        <v>29</v>
      </c>
      <c r="I874" s="2" t="s">
        <v>30</v>
      </c>
      <c r="J874" s="2" t="s">
        <v>3198</v>
      </c>
      <c r="K874" s="2" t="s">
        <v>22</v>
      </c>
      <c r="L874" s="2" t="s">
        <v>23</v>
      </c>
      <c r="M874" s="3">
        <v>0</v>
      </c>
      <c r="N874" s="3">
        <v>1</v>
      </c>
      <c r="O874" s="9" t="s">
        <v>54</v>
      </c>
      <c r="P874" s="3">
        <v>13465.53</v>
      </c>
    </row>
    <row r="875" spans="1:16" x14ac:dyDescent="0.3">
      <c r="A875" s="2" t="s">
        <v>3199</v>
      </c>
      <c r="B875" s="2" t="s">
        <v>3200</v>
      </c>
      <c r="C875" s="2" t="s">
        <v>18</v>
      </c>
      <c r="D875" s="5">
        <v>41.3788342</v>
      </c>
      <c r="E875" s="5">
        <v>36.219276999999998</v>
      </c>
      <c r="F875" s="2" t="s">
        <v>3201</v>
      </c>
      <c r="G875" s="2" t="s">
        <v>221</v>
      </c>
      <c r="H875" s="2" t="s">
        <v>1049</v>
      </c>
      <c r="I875" s="2" t="s">
        <v>1049</v>
      </c>
      <c r="J875" s="2" t="s">
        <v>3202</v>
      </c>
      <c r="K875" s="2" t="s">
        <v>22</v>
      </c>
      <c r="L875" s="2" t="s">
        <v>23</v>
      </c>
      <c r="M875" s="3">
        <v>2</v>
      </c>
      <c r="N875" s="3">
        <v>1</v>
      </c>
      <c r="O875" s="9" t="s">
        <v>24</v>
      </c>
      <c r="P875" s="3">
        <v>0.02</v>
      </c>
    </row>
    <row r="876" spans="1:16" x14ac:dyDescent="0.3">
      <c r="A876" s="2" t="s">
        <v>3203</v>
      </c>
      <c r="B876" s="2" t="s">
        <v>3204</v>
      </c>
      <c r="C876" s="2" t="s">
        <v>18</v>
      </c>
      <c r="D876" s="5">
        <v>41.344315000000002</v>
      </c>
      <c r="E876" s="5">
        <v>36.2425237</v>
      </c>
      <c r="F876" s="2" t="s">
        <v>1844</v>
      </c>
      <c r="G876" s="2" t="s">
        <v>28</v>
      </c>
      <c r="H876" s="2" t="s">
        <v>3205</v>
      </c>
      <c r="I876" s="2" t="s">
        <v>3205</v>
      </c>
      <c r="J876" s="2" t="s">
        <v>3206</v>
      </c>
      <c r="K876" s="2" t="s">
        <v>22</v>
      </c>
      <c r="L876" s="2" t="s">
        <v>23</v>
      </c>
      <c r="M876" s="3">
        <v>1</v>
      </c>
      <c r="N876" s="3">
        <v>1</v>
      </c>
      <c r="O876" s="9" t="s">
        <v>24</v>
      </c>
      <c r="P876" s="3">
        <v>0</v>
      </c>
    </row>
    <row r="877" spans="1:16" x14ac:dyDescent="0.3">
      <c r="A877" s="2" t="s">
        <v>3207</v>
      </c>
      <c r="B877" s="2" t="s">
        <v>3208</v>
      </c>
      <c r="C877" s="2" t="s">
        <v>18</v>
      </c>
      <c r="D877" s="5">
        <v>41.468613400000002</v>
      </c>
      <c r="E877" s="5">
        <v>35.5197146</v>
      </c>
      <c r="F877" s="2" t="s">
        <v>3209</v>
      </c>
      <c r="G877" s="2" t="s">
        <v>221</v>
      </c>
      <c r="H877" s="2" t="s">
        <v>222</v>
      </c>
      <c r="I877" s="2" t="s">
        <v>222</v>
      </c>
      <c r="J877" s="2" t="s">
        <v>3210</v>
      </c>
      <c r="K877" s="2" t="s">
        <v>154</v>
      </c>
      <c r="L877" s="2" t="s">
        <v>155</v>
      </c>
      <c r="M877" s="3">
        <v>0</v>
      </c>
      <c r="N877" s="3">
        <v>1</v>
      </c>
      <c r="O877" s="9" t="s">
        <v>24</v>
      </c>
      <c r="P877" s="3">
        <v>0</v>
      </c>
    </row>
    <row r="878" spans="1:16" x14ac:dyDescent="0.3">
      <c r="A878" s="2" t="s">
        <v>3211</v>
      </c>
      <c r="B878" s="2" t="s">
        <v>3212</v>
      </c>
      <c r="C878" s="2" t="s">
        <v>18</v>
      </c>
      <c r="D878" s="5">
        <v>40.976984600000002</v>
      </c>
      <c r="E878" s="5">
        <v>35.677972799999999</v>
      </c>
      <c r="F878" s="2" t="s">
        <v>3213</v>
      </c>
      <c r="G878" s="2" t="s">
        <v>221</v>
      </c>
      <c r="H878" s="2" t="s">
        <v>222</v>
      </c>
      <c r="I878" s="2" t="s">
        <v>222</v>
      </c>
      <c r="J878" s="2" t="s">
        <v>3214</v>
      </c>
      <c r="K878" s="2" t="s">
        <v>22</v>
      </c>
      <c r="L878" s="2" t="s">
        <v>193</v>
      </c>
      <c r="M878" s="3">
        <v>0</v>
      </c>
      <c r="N878" s="3">
        <v>1</v>
      </c>
      <c r="O878" s="9" t="s">
        <v>24</v>
      </c>
      <c r="P878" s="3">
        <v>-0.59</v>
      </c>
    </row>
    <row r="879" spans="1:16" x14ac:dyDescent="0.3">
      <c r="A879" s="2" t="s">
        <v>3215</v>
      </c>
      <c r="B879" s="2" t="s">
        <v>3216</v>
      </c>
      <c r="C879" s="2" t="s">
        <v>18</v>
      </c>
      <c r="D879" s="5">
        <v>41.347084000000002</v>
      </c>
      <c r="E879" s="5">
        <v>36.225900000000003</v>
      </c>
      <c r="F879" s="2" t="s">
        <v>2005</v>
      </c>
      <c r="G879" s="2" t="s">
        <v>28</v>
      </c>
      <c r="H879" s="2" t="s">
        <v>29</v>
      </c>
      <c r="I879" s="2" t="s">
        <v>30</v>
      </c>
      <c r="J879" s="2" t="s">
        <v>3217</v>
      </c>
      <c r="K879" s="2" t="s">
        <v>22</v>
      </c>
      <c r="L879" s="2" t="s">
        <v>23</v>
      </c>
      <c r="M879" s="3">
        <v>1</v>
      </c>
      <c r="N879" s="3">
        <v>1</v>
      </c>
      <c r="O879" s="9" t="s">
        <v>24</v>
      </c>
      <c r="P879" s="3">
        <v>-1068.0999999999999</v>
      </c>
    </row>
    <row r="880" spans="1:16" x14ac:dyDescent="0.3">
      <c r="A880" s="2" t="s">
        <v>3218</v>
      </c>
      <c r="B880" s="2" t="s">
        <v>3219</v>
      </c>
      <c r="C880" s="2" t="s">
        <v>18</v>
      </c>
      <c r="D880" s="5">
        <v>41.121487899999998</v>
      </c>
      <c r="E880" s="5">
        <v>37.276624400000003</v>
      </c>
      <c r="F880" s="2" t="s">
        <v>3220</v>
      </c>
      <c r="G880" s="2" t="s">
        <v>28</v>
      </c>
      <c r="H880" s="2" t="s">
        <v>29</v>
      </c>
      <c r="I880" s="2" t="s">
        <v>30</v>
      </c>
      <c r="J880" s="2" t="s">
        <v>3221</v>
      </c>
      <c r="K880" s="2" t="s">
        <v>63</v>
      </c>
      <c r="L880" s="2" t="s">
        <v>89</v>
      </c>
      <c r="M880" s="3">
        <v>1</v>
      </c>
      <c r="N880" s="3">
        <v>1</v>
      </c>
      <c r="O880" s="9" t="s">
        <v>24</v>
      </c>
      <c r="P880" s="3">
        <v>-915.45</v>
      </c>
    </row>
    <row r="881" spans="1:16" x14ac:dyDescent="0.3">
      <c r="A881" s="2" t="s">
        <v>3222</v>
      </c>
      <c r="B881" s="2" t="s">
        <v>3223</v>
      </c>
      <c r="C881" s="2" t="s">
        <v>18</v>
      </c>
      <c r="D881" s="5">
        <v>41.087456299999999</v>
      </c>
      <c r="E881" s="5">
        <v>36.834506300000001</v>
      </c>
      <c r="F881" s="2" t="s">
        <v>3224</v>
      </c>
      <c r="G881" s="2" t="s">
        <v>28</v>
      </c>
      <c r="H881" s="2" t="s">
        <v>29</v>
      </c>
      <c r="I881" s="2" t="s">
        <v>30</v>
      </c>
      <c r="J881" s="2" t="s">
        <v>3225</v>
      </c>
      <c r="K881" s="2" t="s">
        <v>22</v>
      </c>
      <c r="L881" s="2" t="s">
        <v>476</v>
      </c>
      <c r="M881" s="3">
        <v>2</v>
      </c>
      <c r="N881" s="3">
        <v>1</v>
      </c>
      <c r="O881" s="9" t="s">
        <v>54</v>
      </c>
      <c r="P881" s="3">
        <v>-720.95</v>
      </c>
    </row>
    <row r="882" spans="1:16" x14ac:dyDescent="0.3">
      <c r="A882" s="2" t="s">
        <v>3226</v>
      </c>
      <c r="B882" s="2" t="s">
        <v>3227</v>
      </c>
      <c r="C882" s="2" t="s">
        <v>18</v>
      </c>
      <c r="D882" s="5">
        <v>41.608302899999998</v>
      </c>
      <c r="E882" s="5">
        <v>35.576753199999999</v>
      </c>
      <c r="F882" s="2" t="s">
        <v>3228</v>
      </c>
      <c r="G882" s="2" t="s">
        <v>221</v>
      </c>
      <c r="H882" s="2" t="s">
        <v>222</v>
      </c>
      <c r="I882" s="2" t="s">
        <v>222</v>
      </c>
      <c r="J882" s="2" t="s">
        <v>3229</v>
      </c>
      <c r="K882" s="2" t="s">
        <v>22</v>
      </c>
      <c r="L882" s="2" t="s">
        <v>265</v>
      </c>
      <c r="M882" s="3">
        <v>1</v>
      </c>
      <c r="N882" s="3">
        <v>1</v>
      </c>
      <c r="O882" s="9" t="s">
        <v>24</v>
      </c>
      <c r="P882" s="3">
        <v>0</v>
      </c>
    </row>
    <row r="883" spans="1:16" x14ac:dyDescent="0.3">
      <c r="A883" s="2" t="s">
        <v>3230</v>
      </c>
      <c r="B883" s="2" t="s">
        <v>3231</v>
      </c>
      <c r="C883" s="2" t="s">
        <v>18</v>
      </c>
      <c r="D883" s="5">
        <v>41.250559799999998</v>
      </c>
      <c r="E883" s="5">
        <v>36.323639800000002</v>
      </c>
      <c r="F883" s="2" t="s">
        <v>3232</v>
      </c>
      <c r="G883" s="2" t="s">
        <v>221</v>
      </c>
      <c r="H883" s="2" t="s">
        <v>222</v>
      </c>
      <c r="I883" s="2" t="s">
        <v>222</v>
      </c>
      <c r="J883" s="2" t="s">
        <v>3233</v>
      </c>
      <c r="K883" s="2" t="s">
        <v>22</v>
      </c>
      <c r="L883" s="2" t="s">
        <v>99</v>
      </c>
      <c r="M883" s="3">
        <v>0</v>
      </c>
      <c r="N883" s="3">
        <v>1</v>
      </c>
      <c r="O883" s="9" t="s">
        <v>54</v>
      </c>
      <c r="P883" s="3">
        <v>0</v>
      </c>
    </row>
    <row r="884" spans="1:16" x14ac:dyDescent="0.3">
      <c r="A884" s="2" t="s">
        <v>3234</v>
      </c>
      <c r="B884" s="2" t="s">
        <v>3235</v>
      </c>
      <c r="C884" s="2" t="s">
        <v>18</v>
      </c>
      <c r="D884" s="5">
        <v>41.285638400000003</v>
      </c>
      <c r="E884" s="5">
        <v>36.3078711</v>
      </c>
      <c r="F884" s="2" t="s">
        <v>54</v>
      </c>
      <c r="G884" s="2" t="s">
        <v>20</v>
      </c>
      <c r="H884" s="2" t="s">
        <v>20</v>
      </c>
      <c r="I884" s="2" t="s">
        <v>1369</v>
      </c>
      <c r="J884" s="2" t="s">
        <v>3236</v>
      </c>
      <c r="K884" s="2" t="s">
        <v>22</v>
      </c>
      <c r="L884" s="2" t="s">
        <v>32</v>
      </c>
      <c r="M884" s="3">
        <v>0</v>
      </c>
      <c r="N884" s="3">
        <v>1</v>
      </c>
      <c r="O884" s="9" t="s">
        <v>54</v>
      </c>
      <c r="P884" s="3">
        <v>0</v>
      </c>
    </row>
    <row r="885" spans="1:16" x14ac:dyDescent="0.3">
      <c r="A885" s="2" t="s">
        <v>3237</v>
      </c>
      <c r="B885" s="2" t="s">
        <v>3238</v>
      </c>
      <c r="C885" s="2" t="s">
        <v>18</v>
      </c>
      <c r="D885" s="5">
        <v>41.087456699999997</v>
      </c>
      <c r="E885" s="5">
        <v>36.834515000000003</v>
      </c>
      <c r="F885" s="2" t="s">
        <v>3239</v>
      </c>
      <c r="G885" s="2" t="s">
        <v>28</v>
      </c>
      <c r="H885" s="2" t="s">
        <v>29</v>
      </c>
      <c r="I885" s="2" t="s">
        <v>30</v>
      </c>
      <c r="J885" s="2" t="s">
        <v>3240</v>
      </c>
      <c r="K885" s="2" t="s">
        <v>22</v>
      </c>
      <c r="L885" s="2" t="s">
        <v>476</v>
      </c>
      <c r="M885" s="3">
        <v>0</v>
      </c>
      <c r="N885" s="3">
        <v>1</v>
      </c>
      <c r="O885" s="9" t="s">
        <v>24</v>
      </c>
      <c r="P885" s="3">
        <v>-1.52</v>
      </c>
    </row>
    <row r="886" spans="1:16" x14ac:dyDescent="0.3">
      <c r="A886" s="2" t="s">
        <v>3241</v>
      </c>
      <c r="B886" s="2" t="s">
        <v>3242</v>
      </c>
      <c r="C886" s="2" t="s">
        <v>18</v>
      </c>
      <c r="D886" s="5">
        <v>41.208985599999998</v>
      </c>
      <c r="E886" s="5">
        <v>36.747640400000002</v>
      </c>
      <c r="F886" s="2" t="s">
        <v>3243</v>
      </c>
      <c r="G886" s="2" t="s">
        <v>221</v>
      </c>
      <c r="H886" s="2" t="s">
        <v>222</v>
      </c>
      <c r="I886" s="2" t="s">
        <v>222</v>
      </c>
      <c r="J886" s="2" t="s">
        <v>3244</v>
      </c>
      <c r="K886" s="2" t="s">
        <v>22</v>
      </c>
      <c r="L886" s="2" t="s">
        <v>44</v>
      </c>
      <c r="M886" s="3">
        <v>1</v>
      </c>
      <c r="N886" s="3">
        <v>1</v>
      </c>
      <c r="O886" s="9" t="s">
        <v>24</v>
      </c>
      <c r="P886" s="3">
        <v>-14.92</v>
      </c>
    </row>
    <row r="887" spans="1:16" x14ac:dyDescent="0.3">
      <c r="A887" s="2" t="s">
        <v>3245</v>
      </c>
      <c r="B887" s="2" t="s">
        <v>3246</v>
      </c>
      <c r="C887" s="2" t="s">
        <v>18</v>
      </c>
      <c r="D887" s="5">
        <v>41.312267200000001</v>
      </c>
      <c r="E887" s="5">
        <v>36.316122399999998</v>
      </c>
      <c r="F887" s="2" t="s">
        <v>54</v>
      </c>
      <c r="G887" s="2" t="s">
        <v>20</v>
      </c>
      <c r="H887" s="2" t="s">
        <v>20</v>
      </c>
      <c r="I887" s="2" t="s">
        <v>1369</v>
      </c>
      <c r="J887" s="2" t="s">
        <v>3247</v>
      </c>
      <c r="K887" s="2" t="s">
        <v>22</v>
      </c>
      <c r="L887" s="2" t="s">
        <v>32</v>
      </c>
      <c r="M887" s="3">
        <v>1</v>
      </c>
      <c r="N887" s="3">
        <v>1</v>
      </c>
      <c r="O887" s="9" t="s">
        <v>54</v>
      </c>
      <c r="P887" s="3">
        <v>0</v>
      </c>
    </row>
    <row r="888" spans="1:16" x14ac:dyDescent="0.3">
      <c r="A888" s="2" t="s">
        <v>3248</v>
      </c>
      <c r="B888" s="2" t="s">
        <v>3249</v>
      </c>
      <c r="C888" s="2" t="s">
        <v>18</v>
      </c>
      <c r="D888" s="5">
        <v>41.198924300000002</v>
      </c>
      <c r="E888" s="5">
        <v>36.715304000000003</v>
      </c>
      <c r="F888" s="2" t="s">
        <v>3250</v>
      </c>
      <c r="G888" s="2" t="s">
        <v>221</v>
      </c>
      <c r="H888" s="2" t="s">
        <v>222</v>
      </c>
      <c r="I888" s="2" t="s">
        <v>222</v>
      </c>
      <c r="J888" s="2" t="s">
        <v>3251</v>
      </c>
      <c r="K888" s="2" t="s">
        <v>22</v>
      </c>
      <c r="L888" s="2" t="s">
        <v>44</v>
      </c>
      <c r="M888" s="3">
        <v>0</v>
      </c>
      <c r="N888" s="3">
        <v>1</v>
      </c>
      <c r="O888" s="9" t="s">
        <v>54</v>
      </c>
      <c r="P888" s="3">
        <v>0</v>
      </c>
    </row>
    <row r="889" spans="1:16" x14ac:dyDescent="0.3">
      <c r="A889" s="2" t="s">
        <v>3252</v>
      </c>
      <c r="B889" s="2" t="s">
        <v>3253</v>
      </c>
      <c r="C889" s="2" t="s">
        <v>18</v>
      </c>
      <c r="D889" s="5">
        <v>41.324926699999999</v>
      </c>
      <c r="E889" s="5">
        <v>36.296708299999999</v>
      </c>
      <c r="F889" s="2" t="s">
        <v>3254</v>
      </c>
      <c r="G889" s="2" t="s">
        <v>221</v>
      </c>
      <c r="H889" s="2" t="s">
        <v>222</v>
      </c>
      <c r="I889" s="2" t="s">
        <v>222</v>
      </c>
      <c r="J889" s="2" t="s">
        <v>3255</v>
      </c>
      <c r="K889" s="2" t="s">
        <v>22</v>
      </c>
      <c r="L889" s="2" t="s">
        <v>39</v>
      </c>
      <c r="M889" s="3">
        <v>1</v>
      </c>
      <c r="N889" s="3">
        <v>1</v>
      </c>
      <c r="O889" s="9" t="s">
        <v>24</v>
      </c>
      <c r="P889" s="3">
        <v>0</v>
      </c>
    </row>
    <row r="890" spans="1:16" x14ac:dyDescent="0.3">
      <c r="A890" s="2" t="s">
        <v>3256</v>
      </c>
      <c r="B890" s="2" t="s">
        <v>3257</v>
      </c>
      <c r="C890" s="2" t="s">
        <v>18</v>
      </c>
      <c r="D890" s="5">
        <v>41.287170000000003</v>
      </c>
      <c r="E890" s="5">
        <v>36.332539099999998</v>
      </c>
      <c r="F890" s="2" t="s">
        <v>3258</v>
      </c>
      <c r="G890" s="2" t="s">
        <v>221</v>
      </c>
      <c r="H890" s="2" t="s">
        <v>1049</v>
      </c>
      <c r="I890" s="2" t="s">
        <v>1049</v>
      </c>
      <c r="J890" s="2" t="s">
        <v>3259</v>
      </c>
      <c r="K890" s="2" t="s">
        <v>22</v>
      </c>
      <c r="L890" s="2" t="s">
        <v>32</v>
      </c>
      <c r="M890" s="3">
        <v>1</v>
      </c>
      <c r="N890" s="3">
        <v>1</v>
      </c>
      <c r="O890" s="9" t="s">
        <v>24</v>
      </c>
      <c r="P890" s="3">
        <v>0</v>
      </c>
    </row>
    <row r="891" spans="1:16" x14ac:dyDescent="0.3">
      <c r="A891" s="2" t="s">
        <v>3260</v>
      </c>
      <c r="B891" s="2" t="s">
        <v>3261</v>
      </c>
      <c r="C891" s="2" t="s">
        <v>18</v>
      </c>
      <c r="D891" s="5">
        <v>41.496410300000001</v>
      </c>
      <c r="E891" s="5">
        <v>36.069758700000001</v>
      </c>
      <c r="F891" s="2" t="s">
        <v>3262</v>
      </c>
      <c r="G891" s="2" t="s">
        <v>28</v>
      </c>
      <c r="H891" s="2" t="s">
        <v>29</v>
      </c>
      <c r="I891" s="2" t="s">
        <v>30</v>
      </c>
      <c r="J891" s="2" t="s">
        <v>3263</v>
      </c>
      <c r="K891" s="2" t="s">
        <v>22</v>
      </c>
      <c r="L891" s="2" t="s">
        <v>394</v>
      </c>
      <c r="M891" s="3">
        <v>1</v>
      </c>
      <c r="N891" s="3">
        <v>1</v>
      </c>
      <c r="O891" s="9" t="s">
        <v>24</v>
      </c>
      <c r="P891" s="3">
        <v>-1191.1400000000001</v>
      </c>
    </row>
    <row r="892" spans="1:16" x14ac:dyDescent="0.3">
      <c r="A892" s="2" t="s">
        <v>3264</v>
      </c>
      <c r="B892" s="2" t="s">
        <v>3265</v>
      </c>
      <c r="C892" s="2" t="s">
        <v>18</v>
      </c>
      <c r="D892" s="5">
        <v>41.4889133</v>
      </c>
      <c r="E892" s="5">
        <v>36.088016699999997</v>
      </c>
      <c r="F892" s="2" t="s">
        <v>3266</v>
      </c>
      <c r="G892" s="2" t="s">
        <v>28</v>
      </c>
      <c r="H892" s="2" t="s">
        <v>29</v>
      </c>
      <c r="I892" s="2" t="s">
        <v>30</v>
      </c>
      <c r="J892" s="2" t="s">
        <v>3267</v>
      </c>
      <c r="K892" s="2" t="s">
        <v>22</v>
      </c>
      <c r="L892" s="2" t="s">
        <v>394</v>
      </c>
      <c r="M892" s="3">
        <v>0</v>
      </c>
      <c r="N892" s="3">
        <v>1</v>
      </c>
      <c r="O892" s="9" t="s">
        <v>24</v>
      </c>
      <c r="P892" s="3">
        <v>-1387.53</v>
      </c>
    </row>
    <row r="893" spans="1:16" x14ac:dyDescent="0.3">
      <c r="A893" s="2" t="s">
        <v>3268</v>
      </c>
      <c r="B893" s="2" t="s">
        <v>3269</v>
      </c>
      <c r="C893" s="2" t="s">
        <v>18</v>
      </c>
      <c r="D893" s="5">
        <v>41.267284400000001</v>
      </c>
      <c r="E893" s="5">
        <v>36.331929799999997</v>
      </c>
      <c r="F893" s="2" t="s">
        <v>3270</v>
      </c>
      <c r="G893" s="2" t="s">
        <v>28</v>
      </c>
      <c r="H893" s="2" t="s">
        <v>3271</v>
      </c>
      <c r="I893" s="2" t="s">
        <v>3271</v>
      </c>
      <c r="J893" s="2" t="s">
        <v>3272</v>
      </c>
      <c r="K893" s="2" t="s">
        <v>22</v>
      </c>
      <c r="L893" s="2" t="s">
        <v>32</v>
      </c>
      <c r="M893" s="3">
        <v>1</v>
      </c>
      <c r="N893" s="3">
        <v>1</v>
      </c>
      <c r="O893" s="9" t="s">
        <v>24</v>
      </c>
      <c r="P893" s="3">
        <v>0.25</v>
      </c>
    </row>
    <row r="894" spans="1:16" x14ac:dyDescent="0.3">
      <c r="A894" s="2" t="s">
        <v>3273</v>
      </c>
      <c r="B894" s="2" t="s">
        <v>3274</v>
      </c>
      <c r="C894" s="2" t="s">
        <v>18</v>
      </c>
      <c r="D894" s="5">
        <v>41.2774833</v>
      </c>
      <c r="E894" s="5">
        <v>36.335020999999998</v>
      </c>
      <c r="F894" s="2" t="s">
        <v>2572</v>
      </c>
      <c r="G894" s="2" t="s">
        <v>221</v>
      </c>
      <c r="H894" s="2" t="s">
        <v>222</v>
      </c>
      <c r="I894" s="2" t="s">
        <v>222</v>
      </c>
      <c r="J894" s="2" t="s">
        <v>3275</v>
      </c>
      <c r="K894" s="2" t="s">
        <v>22</v>
      </c>
      <c r="L894" s="2" t="s">
        <v>32</v>
      </c>
      <c r="M894" s="3">
        <v>1</v>
      </c>
      <c r="N894" s="3">
        <v>1</v>
      </c>
      <c r="O894" s="9" t="s">
        <v>24</v>
      </c>
      <c r="P894" s="3">
        <v>-2.2000000000000002</v>
      </c>
    </row>
    <row r="895" spans="1:16" x14ac:dyDescent="0.3">
      <c r="A895" s="2" t="s">
        <v>3276</v>
      </c>
      <c r="B895" s="2" t="s">
        <v>3277</v>
      </c>
      <c r="C895" s="2" t="s">
        <v>18</v>
      </c>
      <c r="D895" s="5">
        <v>41.198601500000002</v>
      </c>
      <c r="E895" s="5">
        <v>36.721184999999998</v>
      </c>
      <c r="F895" s="2" t="s">
        <v>3278</v>
      </c>
      <c r="G895" s="2" t="s">
        <v>28</v>
      </c>
      <c r="H895" s="2" t="s">
        <v>29</v>
      </c>
      <c r="I895" s="2" t="s">
        <v>30</v>
      </c>
      <c r="J895" s="2" t="s">
        <v>3279</v>
      </c>
      <c r="K895" s="2" t="s">
        <v>22</v>
      </c>
      <c r="L895" s="2" t="s">
        <v>44</v>
      </c>
      <c r="M895" s="3">
        <v>1</v>
      </c>
      <c r="N895" s="3">
        <v>1</v>
      </c>
      <c r="O895" s="9" t="s">
        <v>54</v>
      </c>
      <c r="P895" s="3">
        <v>-4867.28</v>
      </c>
    </row>
    <row r="896" spans="1:16" x14ac:dyDescent="0.3">
      <c r="A896" s="2" t="s">
        <v>3280</v>
      </c>
      <c r="B896" s="2" t="s">
        <v>3281</v>
      </c>
      <c r="C896" s="2" t="s">
        <v>18</v>
      </c>
      <c r="D896" s="5">
        <v>41.566022699999998</v>
      </c>
      <c r="E896" s="5">
        <v>35.909082699999999</v>
      </c>
      <c r="F896" s="2" t="s">
        <v>3282</v>
      </c>
      <c r="G896" s="2" t="s">
        <v>28</v>
      </c>
      <c r="H896" s="2" t="s">
        <v>29</v>
      </c>
      <c r="I896" s="2" t="s">
        <v>30</v>
      </c>
      <c r="J896" s="2" t="s">
        <v>3283</v>
      </c>
      <c r="K896" s="2" t="s">
        <v>22</v>
      </c>
      <c r="L896" s="2" t="s">
        <v>53</v>
      </c>
      <c r="M896" s="3">
        <v>1</v>
      </c>
      <c r="N896" s="3">
        <v>1</v>
      </c>
      <c r="O896" s="9" t="s">
        <v>24</v>
      </c>
      <c r="P896" s="3">
        <v>0</v>
      </c>
    </row>
    <row r="897" spans="1:16" x14ac:dyDescent="0.3">
      <c r="A897" s="2" t="s">
        <v>3284</v>
      </c>
      <c r="B897" s="2" t="s">
        <v>3285</v>
      </c>
      <c r="C897" s="2" t="s">
        <v>18</v>
      </c>
      <c r="D897" s="5">
        <v>41.197378</v>
      </c>
      <c r="E897" s="5">
        <v>36.712973099999999</v>
      </c>
      <c r="F897" s="2" t="s">
        <v>54</v>
      </c>
      <c r="G897" s="2" t="s">
        <v>20</v>
      </c>
      <c r="H897" s="2" t="s">
        <v>20</v>
      </c>
      <c r="I897" s="2" t="s">
        <v>1369</v>
      </c>
      <c r="J897" s="2" t="s">
        <v>3286</v>
      </c>
      <c r="K897" s="2" t="s">
        <v>22</v>
      </c>
      <c r="L897" s="2" t="s">
        <v>44</v>
      </c>
      <c r="M897" s="3">
        <v>0</v>
      </c>
      <c r="N897" s="3">
        <v>1</v>
      </c>
      <c r="O897" s="9" t="s">
        <v>24</v>
      </c>
      <c r="P897" s="3">
        <v>0</v>
      </c>
    </row>
    <row r="898" spans="1:16" x14ac:dyDescent="0.3">
      <c r="A898" s="2" t="s">
        <v>3287</v>
      </c>
      <c r="B898" s="2" t="s">
        <v>3288</v>
      </c>
      <c r="C898" s="2" t="s">
        <v>18</v>
      </c>
      <c r="D898" s="5">
        <v>41.2297881</v>
      </c>
      <c r="E898" s="5">
        <v>36.422012199999998</v>
      </c>
      <c r="F898" s="2" t="s">
        <v>54</v>
      </c>
      <c r="G898" s="2" t="s">
        <v>221</v>
      </c>
      <c r="H898" s="2" t="s">
        <v>926</v>
      </c>
      <c r="I898" s="2" t="s">
        <v>926</v>
      </c>
      <c r="J898" s="2" t="s">
        <v>3289</v>
      </c>
      <c r="K898" s="2" t="s">
        <v>22</v>
      </c>
      <c r="L898" s="2" t="s">
        <v>39</v>
      </c>
      <c r="M898" s="3">
        <v>0</v>
      </c>
      <c r="N898" s="3">
        <v>1</v>
      </c>
      <c r="O898" s="9" t="s">
        <v>24</v>
      </c>
      <c r="P898" s="3">
        <v>0</v>
      </c>
    </row>
    <row r="899" spans="1:16" x14ac:dyDescent="0.3">
      <c r="A899" s="2" t="s">
        <v>3290</v>
      </c>
      <c r="B899" s="2" t="s">
        <v>3291</v>
      </c>
      <c r="C899" s="2" t="s">
        <v>18</v>
      </c>
      <c r="D899" s="5">
        <v>41.265347200000001</v>
      </c>
      <c r="E899" s="5">
        <v>36.3374028</v>
      </c>
      <c r="F899" s="2" t="s">
        <v>3292</v>
      </c>
      <c r="G899" s="2" t="s">
        <v>221</v>
      </c>
      <c r="H899" s="2" t="s">
        <v>222</v>
      </c>
      <c r="I899" s="2" t="s">
        <v>222</v>
      </c>
      <c r="J899" s="2" t="s">
        <v>3293</v>
      </c>
      <c r="K899" s="2" t="s">
        <v>22</v>
      </c>
      <c r="L899" s="2" t="s">
        <v>32</v>
      </c>
      <c r="M899" s="3">
        <v>0</v>
      </c>
      <c r="N899" s="3">
        <v>1</v>
      </c>
      <c r="O899" s="9" t="s">
        <v>24</v>
      </c>
      <c r="P899" s="3">
        <v>0</v>
      </c>
    </row>
    <row r="900" spans="1:16" x14ac:dyDescent="0.3">
      <c r="A900" s="2" t="s">
        <v>3294</v>
      </c>
      <c r="B900" s="2" t="s">
        <v>3295</v>
      </c>
      <c r="C900" s="2" t="s">
        <v>18</v>
      </c>
      <c r="D900" s="5">
        <v>41.569315899999999</v>
      </c>
      <c r="E900" s="5">
        <v>35.873562700000001</v>
      </c>
      <c r="F900" s="2" t="s">
        <v>2720</v>
      </c>
      <c r="G900" s="2" t="s">
        <v>221</v>
      </c>
      <c r="H900" s="2" t="s">
        <v>1049</v>
      </c>
      <c r="I900" s="2" t="s">
        <v>1049</v>
      </c>
      <c r="J900" s="2" t="s">
        <v>2721</v>
      </c>
      <c r="K900" s="2" t="s">
        <v>22</v>
      </c>
      <c r="L900" s="2" t="s">
        <v>53</v>
      </c>
      <c r="M900" s="3">
        <v>0</v>
      </c>
      <c r="N900" s="3">
        <v>1</v>
      </c>
      <c r="O900" s="9" t="s">
        <v>24</v>
      </c>
      <c r="P900" s="3">
        <v>11906.26</v>
      </c>
    </row>
    <row r="901" spans="1:16" x14ac:dyDescent="0.3">
      <c r="A901" s="2" t="s">
        <v>3296</v>
      </c>
      <c r="B901" s="2" t="s">
        <v>3297</v>
      </c>
      <c r="C901" s="2" t="s">
        <v>18</v>
      </c>
      <c r="D901" s="5">
        <v>41.237326799999998</v>
      </c>
      <c r="E901" s="5">
        <v>36.740542099999999</v>
      </c>
      <c r="F901" s="2" t="s">
        <v>3298</v>
      </c>
      <c r="G901" s="2" t="s">
        <v>28</v>
      </c>
      <c r="H901" s="2" t="s">
        <v>29</v>
      </c>
      <c r="I901" s="2" t="s">
        <v>30</v>
      </c>
      <c r="J901" s="2" t="s">
        <v>3299</v>
      </c>
      <c r="K901" s="2" t="s">
        <v>22</v>
      </c>
      <c r="L901" s="2" t="s">
        <v>44</v>
      </c>
      <c r="M901" s="3">
        <v>1</v>
      </c>
      <c r="N901" s="3">
        <v>1</v>
      </c>
      <c r="O901" s="9" t="s">
        <v>24</v>
      </c>
      <c r="P901" s="3">
        <v>0</v>
      </c>
    </row>
    <row r="902" spans="1:16" x14ac:dyDescent="0.3">
      <c r="A902" s="2" t="s">
        <v>3300</v>
      </c>
      <c r="B902" s="2" t="s">
        <v>3301</v>
      </c>
      <c r="C902" s="2" t="s">
        <v>18</v>
      </c>
      <c r="D902" s="5">
        <v>41.282381000000001</v>
      </c>
      <c r="E902" s="5">
        <v>36.742369400000001</v>
      </c>
      <c r="F902" s="2" t="s">
        <v>3302</v>
      </c>
      <c r="G902" s="2" t="s">
        <v>221</v>
      </c>
      <c r="H902" s="2" t="s">
        <v>222</v>
      </c>
      <c r="I902" s="2" t="s">
        <v>222</v>
      </c>
      <c r="J902" s="2" t="s">
        <v>3303</v>
      </c>
      <c r="K902" s="2" t="s">
        <v>22</v>
      </c>
      <c r="L902" s="2" t="s">
        <v>44</v>
      </c>
      <c r="M902" s="3">
        <v>0</v>
      </c>
      <c r="N902" s="3">
        <v>1</v>
      </c>
      <c r="O902" s="9" t="s">
        <v>24</v>
      </c>
      <c r="P902" s="3">
        <v>0</v>
      </c>
    </row>
    <row r="903" spans="1:16" x14ac:dyDescent="0.3">
      <c r="A903" s="2" t="s">
        <v>3304</v>
      </c>
      <c r="B903" s="2" t="s">
        <v>3305</v>
      </c>
      <c r="C903" s="2" t="s">
        <v>18</v>
      </c>
      <c r="D903" s="5">
        <v>41.2766473</v>
      </c>
      <c r="E903" s="5">
        <v>36.362502300000003</v>
      </c>
      <c r="F903" s="2" t="s">
        <v>3306</v>
      </c>
      <c r="G903" s="2" t="s">
        <v>221</v>
      </c>
      <c r="H903" s="2" t="s">
        <v>926</v>
      </c>
      <c r="I903" s="2" t="s">
        <v>926</v>
      </c>
      <c r="J903" s="2" t="s">
        <v>3307</v>
      </c>
      <c r="K903" s="2" t="s">
        <v>22</v>
      </c>
      <c r="L903" s="2" t="s">
        <v>32</v>
      </c>
      <c r="M903" s="3">
        <v>0</v>
      </c>
      <c r="N903" s="3">
        <v>1</v>
      </c>
      <c r="O903" s="9" t="s">
        <v>24</v>
      </c>
      <c r="P903" s="3">
        <v>0</v>
      </c>
    </row>
    <row r="904" spans="1:16" x14ac:dyDescent="0.3">
      <c r="A904" s="2" t="s">
        <v>3308</v>
      </c>
      <c r="B904" s="2" t="s">
        <v>3309</v>
      </c>
      <c r="C904" s="2" t="s">
        <v>18</v>
      </c>
      <c r="D904" s="5">
        <v>41.208853699999999</v>
      </c>
      <c r="E904" s="5">
        <v>36.747676499999997</v>
      </c>
      <c r="F904" s="2" t="s">
        <v>3310</v>
      </c>
      <c r="G904" s="2" t="s">
        <v>221</v>
      </c>
      <c r="H904" s="2" t="s">
        <v>222</v>
      </c>
      <c r="I904" s="2" t="s">
        <v>222</v>
      </c>
      <c r="J904" s="2" t="s">
        <v>3311</v>
      </c>
      <c r="K904" s="2" t="s">
        <v>22</v>
      </c>
      <c r="L904" s="2" t="s">
        <v>44</v>
      </c>
      <c r="M904" s="3">
        <v>0</v>
      </c>
      <c r="N904" s="3">
        <v>1</v>
      </c>
      <c r="O904" s="9" t="s">
        <v>24</v>
      </c>
      <c r="P904" s="3">
        <v>-1.39</v>
      </c>
    </row>
    <row r="905" spans="1:16" x14ac:dyDescent="0.3">
      <c r="A905" s="2" t="s">
        <v>3312</v>
      </c>
      <c r="B905" s="2" t="s">
        <v>3313</v>
      </c>
      <c r="C905" s="2" t="s">
        <v>18</v>
      </c>
      <c r="D905" s="5">
        <v>41.275208200000002</v>
      </c>
      <c r="E905" s="5">
        <v>36.365833600000002</v>
      </c>
      <c r="F905" s="2" t="s">
        <v>3306</v>
      </c>
      <c r="G905" s="2" t="s">
        <v>221</v>
      </c>
      <c r="H905" s="2" t="s">
        <v>926</v>
      </c>
      <c r="I905" s="2" t="s">
        <v>926</v>
      </c>
      <c r="J905" s="2" t="s">
        <v>3314</v>
      </c>
      <c r="K905" s="2" t="s">
        <v>22</v>
      </c>
      <c r="L905" s="2" t="s">
        <v>32</v>
      </c>
      <c r="M905" s="3">
        <v>0</v>
      </c>
      <c r="N905" s="3">
        <v>1</v>
      </c>
      <c r="O905" s="9" t="s">
        <v>24</v>
      </c>
      <c r="P905" s="3">
        <v>0</v>
      </c>
    </row>
    <row r="906" spans="1:16" x14ac:dyDescent="0.3">
      <c r="A906" s="2" t="s">
        <v>3315</v>
      </c>
      <c r="B906" s="2" t="s">
        <v>3316</v>
      </c>
      <c r="C906" s="2" t="s">
        <v>18</v>
      </c>
      <c r="D906" s="5">
        <v>41.320990899999998</v>
      </c>
      <c r="E906" s="5">
        <v>36.325165499999997</v>
      </c>
      <c r="F906" s="2" t="s">
        <v>3306</v>
      </c>
      <c r="G906" s="2" t="s">
        <v>221</v>
      </c>
      <c r="H906" s="2" t="s">
        <v>926</v>
      </c>
      <c r="I906" s="2" t="s">
        <v>926</v>
      </c>
      <c r="J906" s="2" t="s">
        <v>3317</v>
      </c>
      <c r="K906" s="2" t="s">
        <v>22</v>
      </c>
      <c r="L906" s="2" t="s">
        <v>32</v>
      </c>
      <c r="M906" s="3">
        <v>0</v>
      </c>
      <c r="N906" s="3">
        <v>1</v>
      </c>
      <c r="O906" s="9" t="s">
        <v>24</v>
      </c>
      <c r="P906" s="3">
        <v>0</v>
      </c>
    </row>
    <row r="907" spans="1:16" x14ac:dyDescent="0.3">
      <c r="A907" s="2" t="s">
        <v>3318</v>
      </c>
      <c r="B907" s="2" t="s">
        <v>3319</v>
      </c>
      <c r="C907" s="2" t="s">
        <v>18</v>
      </c>
      <c r="D907" s="5">
        <v>41.322108299999996</v>
      </c>
      <c r="E907" s="5">
        <v>36.319504600000002</v>
      </c>
      <c r="F907" s="2" t="s">
        <v>3306</v>
      </c>
      <c r="G907" s="2" t="s">
        <v>221</v>
      </c>
      <c r="H907" s="2" t="s">
        <v>926</v>
      </c>
      <c r="I907" s="2" t="s">
        <v>926</v>
      </c>
      <c r="J907" s="2" t="s">
        <v>3320</v>
      </c>
      <c r="K907" s="2" t="s">
        <v>22</v>
      </c>
      <c r="L907" s="2" t="s">
        <v>32</v>
      </c>
      <c r="M907" s="3">
        <v>0</v>
      </c>
      <c r="N907" s="3">
        <v>1</v>
      </c>
      <c r="O907" s="9" t="s">
        <v>24</v>
      </c>
      <c r="P907" s="3">
        <v>0</v>
      </c>
    </row>
    <row r="908" spans="1:16" x14ac:dyDescent="0.3">
      <c r="A908" s="2" t="s">
        <v>3321</v>
      </c>
      <c r="B908" s="2" t="s">
        <v>3322</v>
      </c>
      <c r="C908" s="2" t="s">
        <v>18</v>
      </c>
      <c r="D908" s="5">
        <v>41.346327299999999</v>
      </c>
      <c r="E908" s="5">
        <v>36.261758700000001</v>
      </c>
      <c r="F908" s="2" t="s">
        <v>3306</v>
      </c>
      <c r="G908" s="2" t="s">
        <v>221</v>
      </c>
      <c r="H908" s="2" t="s">
        <v>926</v>
      </c>
      <c r="I908" s="2" t="s">
        <v>926</v>
      </c>
      <c r="J908" s="2" t="s">
        <v>3307</v>
      </c>
      <c r="K908" s="2" t="s">
        <v>22</v>
      </c>
      <c r="L908" s="2" t="s">
        <v>32</v>
      </c>
      <c r="M908" s="3">
        <v>5</v>
      </c>
      <c r="N908" s="3">
        <v>1</v>
      </c>
      <c r="O908" s="9" t="s">
        <v>24</v>
      </c>
      <c r="P908" s="3">
        <v>0</v>
      </c>
    </row>
    <row r="909" spans="1:16" x14ac:dyDescent="0.3">
      <c r="A909" s="2" t="s">
        <v>3323</v>
      </c>
      <c r="B909" s="2" t="s">
        <v>3324</v>
      </c>
      <c r="C909" s="2" t="s">
        <v>18</v>
      </c>
      <c r="D909" s="5">
        <v>41.342567099999997</v>
      </c>
      <c r="E909" s="5">
        <v>36.261410599999998</v>
      </c>
      <c r="F909" s="2" t="s">
        <v>3306</v>
      </c>
      <c r="G909" s="2" t="s">
        <v>221</v>
      </c>
      <c r="H909" s="2" t="s">
        <v>926</v>
      </c>
      <c r="I909" s="2" t="s">
        <v>926</v>
      </c>
      <c r="J909" s="2" t="s">
        <v>3307</v>
      </c>
      <c r="K909" s="2" t="s">
        <v>22</v>
      </c>
      <c r="L909" s="2" t="s">
        <v>32</v>
      </c>
      <c r="M909" s="3">
        <v>1</v>
      </c>
      <c r="N909" s="3">
        <v>1</v>
      </c>
      <c r="O909" s="9" t="s">
        <v>24</v>
      </c>
      <c r="P909" s="3">
        <v>397135.6</v>
      </c>
    </row>
    <row r="910" spans="1:16" x14ac:dyDescent="0.3">
      <c r="A910" s="2" t="s">
        <v>3325</v>
      </c>
      <c r="B910" s="2" t="s">
        <v>3326</v>
      </c>
      <c r="C910" s="2" t="s">
        <v>18</v>
      </c>
      <c r="D910" s="5">
        <v>41.341359599999997</v>
      </c>
      <c r="E910" s="5">
        <v>36.263714299999997</v>
      </c>
      <c r="F910" s="2" t="s">
        <v>3306</v>
      </c>
      <c r="G910" s="2" t="s">
        <v>221</v>
      </c>
      <c r="H910" s="2" t="s">
        <v>926</v>
      </c>
      <c r="I910" s="2" t="s">
        <v>926</v>
      </c>
      <c r="J910" s="2" t="s">
        <v>3307</v>
      </c>
      <c r="K910" s="2" t="s">
        <v>22</v>
      </c>
      <c r="L910" s="2" t="s">
        <v>32</v>
      </c>
      <c r="M910" s="3">
        <v>5</v>
      </c>
      <c r="N910" s="3">
        <v>1</v>
      </c>
      <c r="O910" s="9" t="s">
        <v>24</v>
      </c>
      <c r="P910" s="3">
        <v>0</v>
      </c>
    </row>
    <row r="911" spans="1:16" x14ac:dyDescent="0.3">
      <c r="A911" s="2" t="s">
        <v>3327</v>
      </c>
      <c r="B911" s="2" t="s">
        <v>3328</v>
      </c>
      <c r="C911" s="2" t="s">
        <v>18</v>
      </c>
      <c r="D911" s="5">
        <v>41.343318500000002</v>
      </c>
      <c r="E911" s="5">
        <v>36.259847299999997</v>
      </c>
      <c r="F911" s="2" t="s">
        <v>3306</v>
      </c>
      <c r="G911" s="2" t="s">
        <v>221</v>
      </c>
      <c r="H911" s="2" t="s">
        <v>926</v>
      </c>
      <c r="I911" s="2" t="s">
        <v>926</v>
      </c>
      <c r="J911" s="2" t="s">
        <v>3307</v>
      </c>
      <c r="K911" s="2" t="s">
        <v>22</v>
      </c>
      <c r="L911" s="2" t="s">
        <v>32</v>
      </c>
      <c r="M911" s="3">
        <v>8</v>
      </c>
      <c r="N911" s="3">
        <v>1</v>
      </c>
      <c r="O911" s="9" t="s">
        <v>24</v>
      </c>
      <c r="P911" s="3">
        <v>0</v>
      </c>
    </row>
    <row r="912" spans="1:16" x14ac:dyDescent="0.3">
      <c r="A912" s="2" t="s">
        <v>3329</v>
      </c>
      <c r="B912" s="2" t="s">
        <v>3330</v>
      </c>
      <c r="C912" s="2" t="s">
        <v>18</v>
      </c>
      <c r="D912" s="5">
        <v>41.272886499999998</v>
      </c>
      <c r="E912" s="5">
        <v>36.367205800000001</v>
      </c>
      <c r="F912" s="2" t="s">
        <v>3306</v>
      </c>
      <c r="G912" s="2" t="s">
        <v>221</v>
      </c>
      <c r="H912" s="2" t="s">
        <v>222</v>
      </c>
      <c r="I912" s="2" t="s">
        <v>222</v>
      </c>
      <c r="J912" s="2" t="s">
        <v>3320</v>
      </c>
      <c r="K912" s="2" t="s">
        <v>22</v>
      </c>
      <c r="L912" s="2" t="s">
        <v>32</v>
      </c>
      <c r="M912" s="3">
        <v>0</v>
      </c>
      <c r="N912" s="3">
        <v>1</v>
      </c>
      <c r="O912" s="9" t="s">
        <v>24</v>
      </c>
      <c r="P912" s="3">
        <v>0</v>
      </c>
    </row>
    <row r="913" spans="1:16" x14ac:dyDescent="0.3">
      <c r="A913" s="2" t="s">
        <v>3331</v>
      </c>
      <c r="B913" s="2" t="s">
        <v>3332</v>
      </c>
      <c r="C913" s="2" t="s">
        <v>18</v>
      </c>
      <c r="D913" s="5">
        <v>41.291427400000003</v>
      </c>
      <c r="E913" s="5">
        <v>36.337099600000002</v>
      </c>
      <c r="F913" s="2" t="s">
        <v>3306</v>
      </c>
      <c r="G913" s="2" t="s">
        <v>221</v>
      </c>
      <c r="H913" s="2" t="s">
        <v>222</v>
      </c>
      <c r="I913" s="2" t="s">
        <v>222</v>
      </c>
      <c r="J913" s="2" t="s">
        <v>3307</v>
      </c>
      <c r="K913" s="2" t="s">
        <v>22</v>
      </c>
      <c r="L913" s="2" t="s">
        <v>32</v>
      </c>
      <c r="M913" s="3">
        <v>0</v>
      </c>
      <c r="N913" s="3">
        <v>1</v>
      </c>
      <c r="O913" s="9" t="s">
        <v>24</v>
      </c>
      <c r="P913" s="3">
        <v>0</v>
      </c>
    </row>
    <row r="914" spans="1:16" x14ac:dyDescent="0.3">
      <c r="A914" s="2" t="s">
        <v>3333</v>
      </c>
      <c r="B914" s="2" t="s">
        <v>3334</v>
      </c>
      <c r="C914" s="2" t="s">
        <v>18</v>
      </c>
      <c r="D914" s="5">
        <v>41.286315299999998</v>
      </c>
      <c r="E914" s="5">
        <v>36.339754999999997</v>
      </c>
      <c r="F914" s="2" t="s">
        <v>3306</v>
      </c>
      <c r="G914" s="2" t="s">
        <v>221</v>
      </c>
      <c r="H914" s="2" t="s">
        <v>222</v>
      </c>
      <c r="I914" s="2" t="s">
        <v>222</v>
      </c>
      <c r="J914" s="2" t="s">
        <v>3307</v>
      </c>
      <c r="K914" s="2" t="s">
        <v>22</v>
      </c>
      <c r="L914" s="2" t="s">
        <v>32</v>
      </c>
      <c r="M914" s="3">
        <v>1</v>
      </c>
      <c r="N914" s="3">
        <v>1</v>
      </c>
      <c r="O914" s="9" t="s">
        <v>24</v>
      </c>
      <c r="P914" s="3">
        <v>0</v>
      </c>
    </row>
    <row r="915" spans="1:16" x14ac:dyDescent="0.3">
      <c r="A915" s="2" t="s">
        <v>3335</v>
      </c>
      <c r="B915" s="2" t="s">
        <v>3336</v>
      </c>
      <c r="C915" s="2" t="s">
        <v>18</v>
      </c>
      <c r="D915" s="5">
        <v>41.295699300000003</v>
      </c>
      <c r="E915" s="5">
        <v>36.334392299999998</v>
      </c>
      <c r="F915" s="2" t="s">
        <v>3306</v>
      </c>
      <c r="G915" s="2" t="s">
        <v>221</v>
      </c>
      <c r="H915" s="2" t="s">
        <v>222</v>
      </c>
      <c r="I915" s="2" t="s">
        <v>222</v>
      </c>
      <c r="J915" s="2" t="s">
        <v>3307</v>
      </c>
      <c r="K915" s="2" t="s">
        <v>22</v>
      </c>
      <c r="L915" s="2" t="s">
        <v>32</v>
      </c>
      <c r="M915" s="3">
        <v>2</v>
      </c>
      <c r="N915" s="3">
        <v>1</v>
      </c>
      <c r="O915" s="9" t="s">
        <v>24</v>
      </c>
      <c r="P915" s="3">
        <v>0</v>
      </c>
    </row>
    <row r="916" spans="1:16" x14ac:dyDescent="0.3">
      <c r="A916" s="2" t="s">
        <v>3337</v>
      </c>
      <c r="B916" s="2" t="s">
        <v>3338</v>
      </c>
      <c r="C916" s="2" t="s">
        <v>18</v>
      </c>
      <c r="D916" s="5">
        <v>41.295487899999998</v>
      </c>
      <c r="E916" s="5">
        <v>36.331457299999997</v>
      </c>
      <c r="F916" s="2" t="s">
        <v>3306</v>
      </c>
      <c r="G916" s="2" t="s">
        <v>221</v>
      </c>
      <c r="H916" s="2" t="s">
        <v>222</v>
      </c>
      <c r="I916" s="2" t="s">
        <v>222</v>
      </c>
      <c r="J916" s="2" t="s">
        <v>3307</v>
      </c>
      <c r="K916" s="2" t="s">
        <v>22</v>
      </c>
      <c r="L916" s="2" t="s">
        <v>32</v>
      </c>
      <c r="M916" s="3">
        <v>1</v>
      </c>
      <c r="N916" s="3">
        <v>1</v>
      </c>
      <c r="O916" s="9" t="s">
        <v>24</v>
      </c>
      <c r="P916" s="3">
        <v>0</v>
      </c>
    </row>
    <row r="917" spans="1:16" x14ac:dyDescent="0.3">
      <c r="A917" s="2" t="s">
        <v>3339</v>
      </c>
      <c r="B917" s="2" t="s">
        <v>3340</v>
      </c>
      <c r="C917" s="2" t="s">
        <v>18</v>
      </c>
      <c r="D917" s="5">
        <v>41.325786700000002</v>
      </c>
      <c r="E917" s="5">
        <v>36.308560900000003</v>
      </c>
      <c r="F917" s="2" t="s">
        <v>3306</v>
      </c>
      <c r="G917" s="2" t="s">
        <v>221</v>
      </c>
      <c r="H917" s="2" t="s">
        <v>222</v>
      </c>
      <c r="I917" s="2" t="s">
        <v>222</v>
      </c>
      <c r="J917" s="2" t="s">
        <v>3307</v>
      </c>
      <c r="K917" s="2" t="s">
        <v>22</v>
      </c>
      <c r="L917" s="2" t="s">
        <v>32</v>
      </c>
      <c r="M917" s="3">
        <v>0</v>
      </c>
      <c r="N917" s="3">
        <v>1</v>
      </c>
      <c r="O917" s="9" t="s">
        <v>24</v>
      </c>
      <c r="P917" s="3">
        <v>0</v>
      </c>
    </row>
    <row r="918" spans="1:16" x14ac:dyDescent="0.3">
      <c r="A918" s="2" t="s">
        <v>3341</v>
      </c>
      <c r="B918" s="2" t="s">
        <v>3342</v>
      </c>
      <c r="C918" s="2" t="s">
        <v>18</v>
      </c>
      <c r="D918" s="5">
        <v>41.306139999999999</v>
      </c>
      <c r="E918" s="5">
        <v>36.334231699999997</v>
      </c>
      <c r="F918" s="2" t="s">
        <v>3306</v>
      </c>
      <c r="G918" s="2" t="s">
        <v>221</v>
      </c>
      <c r="H918" s="2" t="s">
        <v>222</v>
      </c>
      <c r="I918" s="2" t="s">
        <v>222</v>
      </c>
      <c r="J918" s="2" t="s">
        <v>3307</v>
      </c>
      <c r="K918" s="2" t="s">
        <v>22</v>
      </c>
      <c r="L918" s="2" t="s">
        <v>32</v>
      </c>
      <c r="M918" s="3">
        <v>1</v>
      </c>
      <c r="N918" s="3">
        <v>1</v>
      </c>
      <c r="O918" s="9" t="s">
        <v>24</v>
      </c>
      <c r="P918" s="3">
        <v>0</v>
      </c>
    </row>
    <row r="919" spans="1:16" x14ac:dyDescent="0.3">
      <c r="A919" s="2" t="s">
        <v>3343</v>
      </c>
      <c r="B919" s="2" t="s">
        <v>3344</v>
      </c>
      <c r="C919" s="2" t="s">
        <v>18</v>
      </c>
      <c r="D919" s="5">
        <v>41.330199700000001</v>
      </c>
      <c r="E919" s="5">
        <v>36.294084099999999</v>
      </c>
      <c r="F919" s="2" t="s">
        <v>3306</v>
      </c>
      <c r="G919" s="2" t="s">
        <v>221</v>
      </c>
      <c r="H919" s="2" t="s">
        <v>222</v>
      </c>
      <c r="I919" s="2" t="s">
        <v>222</v>
      </c>
      <c r="J919" s="2" t="s">
        <v>3307</v>
      </c>
      <c r="K919" s="2" t="s">
        <v>22</v>
      </c>
      <c r="L919" s="2" t="s">
        <v>32</v>
      </c>
      <c r="M919" s="3">
        <v>0</v>
      </c>
      <c r="N919" s="3">
        <v>1</v>
      </c>
      <c r="O919" s="9" t="s">
        <v>24</v>
      </c>
      <c r="P919" s="3">
        <v>0</v>
      </c>
    </row>
    <row r="920" spans="1:16" x14ac:dyDescent="0.3">
      <c r="A920" s="2" t="s">
        <v>3345</v>
      </c>
      <c r="B920" s="2" t="s">
        <v>3346</v>
      </c>
      <c r="C920" s="2" t="s">
        <v>18</v>
      </c>
      <c r="D920" s="5">
        <v>41.386354099999998</v>
      </c>
      <c r="E920" s="5">
        <v>36.211436200000001</v>
      </c>
      <c r="F920" s="2" t="s">
        <v>3306</v>
      </c>
      <c r="G920" s="2" t="s">
        <v>221</v>
      </c>
      <c r="H920" s="2" t="s">
        <v>222</v>
      </c>
      <c r="I920" s="2" t="s">
        <v>222</v>
      </c>
      <c r="J920" s="2" t="s">
        <v>3307</v>
      </c>
      <c r="K920" s="2" t="s">
        <v>22</v>
      </c>
      <c r="L920" s="2" t="s">
        <v>32</v>
      </c>
      <c r="M920" s="3">
        <v>6</v>
      </c>
      <c r="N920" s="3">
        <v>1</v>
      </c>
      <c r="O920" s="9" t="s">
        <v>24</v>
      </c>
      <c r="P920" s="3">
        <v>0</v>
      </c>
    </row>
    <row r="921" spans="1:16" x14ac:dyDescent="0.3">
      <c r="A921" s="2" t="s">
        <v>3347</v>
      </c>
      <c r="B921" s="2" t="s">
        <v>3348</v>
      </c>
      <c r="C921" s="2" t="s">
        <v>18</v>
      </c>
      <c r="D921" s="5">
        <v>41.410780299999999</v>
      </c>
      <c r="E921" s="5">
        <v>36.1857319</v>
      </c>
      <c r="F921" s="2" t="s">
        <v>3306</v>
      </c>
      <c r="G921" s="2" t="s">
        <v>221</v>
      </c>
      <c r="H921" s="2" t="s">
        <v>222</v>
      </c>
      <c r="I921" s="2" t="s">
        <v>222</v>
      </c>
      <c r="J921" s="2" t="s">
        <v>3307</v>
      </c>
      <c r="K921" s="2" t="s">
        <v>22</v>
      </c>
      <c r="L921" s="2" t="s">
        <v>32</v>
      </c>
      <c r="M921" s="3">
        <v>3</v>
      </c>
      <c r="N921" s="3">
        <v>1</v>
      </c>
      <c r="O921" s="9" t="s">
        <v>24</v>
      </c>
      <c r="P921" s="3">
        <v>0</v>
      </c>
    </row>
    <row r="922" spans="1:16" x14ac:dyDescent="0.3">
      <c r="A922" s="2" t="s">
        <v>3349</v>
      </c>
      <c r="B922" s="2" t="s">
        <v>3350</v>
      </c>
      <c r="C922" s="2" t="s">
        <v>18</v>
      </c>
      <c r="D922" s="5">
        <v>41.401344000000002</v>
      </c>
      <c r="E922" s="5">
        <v>36.195137000000003</v>
      </c>
      <c r="F922" s="2" t="s">
        <v>3306</v>
      </c>
      <c r="G922" s="2" t="s">
        <v>221</v>
      </c>
      <c r="H922" s="2" t="s">
        <v>222</v>
      </c>
      <c r="I922" s="2" t="s">
        <v>222</v>
      </c>
      <c r="J922" s="2" t="s">
        <v>3307</v>
      </c>
      <c r="K922" s="2" t="s">
        <v>22</v>
      </c>
      <c r="L922" s="2" t="s">
        <v>32</v>
      </c>
      <c r="M922" s="3">
        <v>3</v>
      </c>
      <c r="N922" s="3">
        <v>1</v>
      </c>
      <c r="O922" s="9" t="s">
        <v>24</v>
      </c>
      <c r="P922" s="3">
        <v>0</v>
      </c>
    </row>
    <row r="923" spans="1:16" x14ac:dyDescent="0.3">
      <c r="A923" s="2" t="s">
        <v>3351</v>
      </c>
      <c r="B923" s="2" t="s">
        <v>3352</v>
      </c>
      <c r="C923" s="2" t="s">
        <v>18</v>
      </c>
      <c r="D923" s="5">
        <v>41.669672499999997</v>
      </c>
      <c r="E923" s="5">
        <v>36.035585599999997</v>
      </c>
      <c r="F923" s="2" t="s">
        <v>3306</v>
      </c>
      <c r="G923" s="2" t="s">
        <v>221</v>
      </c>
      <c r="H923" s="2" t="s">
        <v>222</v>
      </c>
      <c r="I923" s="2" t="s">
        <v>222</v>
      </c>
      <c r="J923" s="2" t="s">
        <v>3307</v>
      </c>
      <c r="K923" s="2" t="s">
        <v>22</v>
      </c>
      <c r="L923" s="2" t="s">
        <v>32</v>
      </c>
      <c r="M923" s="3">
        <v>0</v>
      </c>
      <c r="N923" s="3">
        <v>1</v>
      </c>
      <c r="O923" s="9" t="s">
        <v>24</v>
      </c>
      <c r="P923" s="3">
        <v>0</v>
      </c>
    </row>
    <row r="924" spans="1:16" x14ac:dyDescent="0.3">
      <c r="A924" s="2" t="s">
        <v>3353</v>
      </c>
      <c r="B924" s="2" t="s">
        <v>3354</v>
      </c>
      <c r="C924" s="2" t="s">
        <v>18</v>
      </c>
      <c r="D924" s="5">
        <v>41.594273100000002</v>
      </c>
      <c r="E924" s="5">
        <v>36.113459900000002</v>
      </c>
      <c r="F924" s="2" t="s">
        <v>3306</v>
      </c>
      <c r="G924" s="2" t="s">
        <v>221</v>
      </c>
      <c r="H924" s="2" t="s">
        <v>222</v>
      </c>
      <c r="I924" s="2" t="s">
        <v>222</v>
      </c>
      <c r="J924" s="2" t="s">
        <v>3307</v>
      </c>
      <c r="K924" s="2" t="s">
        <v>22</v>
      </c>
      <c r="L924" s="2" t="s">
        <v>32</v>
      </c>
      <c r="M924" s="3">
        <v>2</v>
      </c>
      <c r="N924" s="3">
        <v>1</v>
      </c>
      <c r="O924" s="9" t="s">
        <v>24</v>
      </c>
      <c r="P924" s="3">
        <v>0</v>
      </c>
    </row>
    <row r="925" spans="1:16" x14ac:dyDescent="0.3">
      <c r="A925" s="2" t="s">
        <v>3355</v>
      </c>
      <c r="B925" s="2" t="s">
        <v>3356</v>
      </c>
      <c r="C925" s="2" t="s">
        <v>18</v>
      </c>
      <c r="D925" s="5">
        <v>41.1273804</v>
      </c>
      <c r="E925" s="5">
        <v>37.286442700000002</v>
      </c>
      <c r="F925" s="2" t="s">
        <v>54</v>
      </c>
      <c r="G925" s="2" t="s">
        <v>20</v>
      </c>
      <c r="H925" s="2" t="s">
        <v>20</v>
      </c>
      <c r="I925" s="2" t="s">
        <v>1369</v>
      </c>
      <c r="J925" s="2" t="s">
        <v>3357</v>
      </c>
      <c r="K925" s="2" t="s">
        <v>63</v>
      </c>
      <c r="L925" s="2" t="s">
        <v>89</v>
      </c>
      <c r="M925" s="3">
        <v>0</v>
      </c>
      <c r="N925" s="3">
        <v>1</v>
      </c>
      <c r="O925" s="9" t="s">
        <v>24</v>
      </c>
      <c r="P925" s="3">
        <v>0</v>
      </c>
    </row>
    <row r="926" spans="1:16" x14ac:dyDescent="0.3">
      <c r="A926" s="2" t="s">
        <v>3358</v>
      </c>
      <c r="B926" s="2" t="s">
        <v>3359</v>
      </c>
      <c r="C926" s="2" t="s">
        <v>18</v>
      </c>
      <c r="D926" s="5">
        <v>41.345329</v>
      </c>
      <c r="E926" s="5">
        <v>36.2458867</v>
      </c>
      <c r="F926" s="2" t="s">
        <v>54</v>
      </c>
      <c r="G926" s="2" t="s">
        <v>20</v>
      </c>
      <c r="H926" s="2" t="s">
        <v>20</v>
      </c>
      <c r="I926" s="2" t="s">
        <v>1369</v>
      </c>
      <c r="J926" s="2" t="s">
        <v>3360</v>
      </c>
      <c r="K926" s="2" t="s">
        <v>22</v>
      </c>
      <c r="L926" s="2" t="s">
        <v>23</v>
      </c>
      <c r="M926" s="3">
        <v>1</v>
      </c>
      <c r="N926" s="3">
        <v>1</v>
      </c>
      <c r="O926" s="9" t="s">
        <v>24</v>
      </c>
      <c r="P926" s="3">
        <v>0</v>
      </c>
    </row>
    <row r="927" spans="1:16" x14ac:dyDescent="0.3">
      <c r="A927" s="2" t="s">
        <v>3361</v>
      </c>
      <c r="B927" s="2" t="s">
        <v>3362</v>
      </c>
      <c r="C927" s="2" t="s">
        <v>18</v>
      </c>
      <c r="D927" s="5">
        <v>41.1985077</v>
      </c>
      <c r="E927" s="5">
        <v>36.722008799999998</v>
      </c>
      <c r="F927" s="2" t="s">
        <v>54</v>
      </c>
      <c r="G927" s="2" t="s">
        <v>20</v>
      </c>
      <c r="H927" s="2" t="s">
        <v>20</v>
      </c>
      <c r="I927" s="2" t="s">
        <v>1369</v>
      </c>
      <c r="J927" s="2" t="s">
        <v>3363</v>
      </c>
      <c r="K927" s="2" t="s">
        <v>22</v>
      </c>
      <c r="L927" s="2" t="s">
        <v>44</v>
      </c>
      <c r="M927" s="3">
        <v>0</v>
      </c>
      <c r="N927" s="3">
        <v>1</v>
      </c>
      <c r="O927" s="9" t="s">
        <v>24</v>
      </c>
      <c r="P927" s="3">
        <v>0</v>
      </c>
    </row>
    <row r="928" spans="1:16" x14ac:dyDescent="0.3">
      <c r="A928" s="2" t="s">
        <v>3364</v>
      </c>
      <c r="B928" s="2" t="s">
        <v>3365</v>
      </c>
      <c r="C928" s="2" t="s">
        <v>18</v>
      </c>
      <c r="D928" s="5">
        <v>41.287752699999999</v>
      </c>
      <c r="E928" s="5">
        <v>36.334175600000002</v>
      </c>
      <c r="F928" s="2" t="s">
        <v>54</v>
      </c>
      <c r="G928" s="2" t="s">
        <v>20</v>
      </c>
      <c r="H928" s="2" t="s">
        <v>20</v>
      </c>
      <c r="I928" s="2" t="s">
        <v>1369</v>
      </c>
      <c r="J928" s="2" t="s">
        <v>3366</v>
      </c>
      <c r="K928" s="2" t="s">
        <v>22</v>
      </c>
      <c r="L928" s="2" t="s">
        <v>32</v>
      </c>
      <c r="M928" s="3">
        <v>1</v>
      </c>
      <c r="N928" s="3">
        <v>1</v>
      </c>
      <c r="O928" s="9" t="s">
        <v>24</v>
      </c>
      <c r="P928" s="3">
        <v>0</v>
      </c>
    </row>
    <row r="929" spans="1:16" x14ac:dyDescent="0.3">
      <c r="A929" s="2" t="s">
        <v>3367</v>
      </c>
      <c r="B929" s="2" t="s">
        <v>3368</v>
      </c>
      <c r="C929" s="2" t="s">
        <v>18</v>
      </c>
      <c r="D929" s="5">
        <v>41.131478299999998</v>
      </c>
      <c r="E929" s="5">
        <v>37.2725133</v>
      </c>
      <c r="F929" s="2" t="s">
        <v>3369</v>
      </c>
      <c r="G929" s="2" t="s">
        <v>28</v>
      </c>
      <c r="H929" s="2" t="s">
        <v>29</v>
      </c>
      <c r="I929" s="2" t="s">
        <v>30</v>
      </c>
      <c r="J929" s="2" t="s">
        <v>3370</v>
      </c>
      <c r="K929" s="2" t="s">
        <v>63</v>
      </c>
      <c r="L929" s="2" t="s">
        <v>89</v>
      </c>
      <c r="M929" s="3">
        <v>3</v>
      </c>
      <c r="N929" s="3">
        <v>1</v>
      </c>
      <c r="O929" s="9" t="s">
        <v>24</v>
      </c>
      <c r="P929" s="3">
        <v>-2043.02</v>
      </c>
    </row>
    <row r="930" spans="1:16" x14ac:dyDescent="0.3">
      <c r="A930" s="2" t="s">
        <v>3371</v>
      </c>
      <c r="B930" s="2" t="s">
        <v>3372</v>
      </c>
      <c r="C930" s="2" t="s">
        <v>18</v>
      </c>
      <c r="D930" s="5">
        <v>41.3283883</v>
      </c>
      <c r="E930" s="5">
        <v>36.306846700000001</v>
      </c>
      <c r="F930" s="2" t="s">
        <v>3373</v>
      </c>
      <c r="G930" s="2" t="s">
        <v>221</v>
      </c>
      <c r="H930" s="2" t="s">
        <v>222</v>
      </c>
      <c r="I930" s="2" t="s">
        <v>222</v>
      </c>
      <c r="J930" s="2" t="s">
        <v>3307</v>
      </c>
      <c r="K930" s="2" t="s">
        <v>22</v>
      </c>
      <c r="L930" s="2" t="s">
        <v>32</v>
      </c>
      <c r="M930" s="3">
        <v>8</v>
      </c>
      <c r="N930" s="3">
        <v>1</v>
      </c>
      <c r="O930" s="9" t="s">
        <v>24</v>
      </c>
      <c r="P930" s="3">
        <v>37150.230000000003</v>
      </c>
    </row>
    <row r="931" spans="1:16" x14ac:dyDescent="0.3">
      <c r="A931" s="2" t="s">
        <v>3374</v>
      </c>
      <c r="B931" s="2" t="s">
        <v>3375</v>
      </c>
      <c r="C931" s="2" t="s">
        <v>18</v>
      </c>
      <c r="D931" s="5">
        <v>41.321243799999998</v>
      </c>
      <c r="E931" s="5">
        <v>36.329314500000002</v>
      </c>
      <c r="F931" s="2" t="s">
        <v>3373</v>
      </c>
      <c r="G931" s="2" t="s">
        <v>221</v>
      </c>
      <c r="H931" s="2" t="s">
        <v>222</v>
      </c>
      <c r="I931" s="2" t="s">
        <v>222</v>
      </c>
      <c r="J931" s="2" t="s">
        <v>3307</v>
      </c>
      <c r="K931" s="2" t="s">
        <v>22</v>
      </c>
      <c r="L931" s="2" t="s">
        <v>32</v>
      </c>
      <c r="M931" s="3">
        <v>1</v>
      </c>
      <c r="N931" s="3">
        <v>1</v>
      </c>
      <c r="O931" s="9" t="s">
        <v>24</v>
      </c>
      <c r="P931" s="3">
        <v>0</v>
      </c>
    </row>
    <row r="932" spans="1:16" x14ac:dyDescent="0.3">
      <c r="A932" s="2" t="s">
        <v>3376</v>
      </c>
      <c r="B932" s="2" t="s">
        <v>3377</v>
      </c>
      <c r="C932" s="2" t="s">
        <v>18</v>
      </c>
      <c r="D932" s="5">
        <v>41.269146499999998</v>
      </c>
      <c r="E932" s="5">
        <v>36.371730399999997</v>
      </c>
      <c r="F932" s="2" t="s">
        <v>3378</v>
      </c>
      <c r="G932" s="2" t="s">
        <v>28</v>
      </c>
      <c r="H932" s="2" t="s">
        <v>29</v>
      </c>
      <c r="I932" s="2" t="s">
        <v>30</v>
      </c>
      <c r="J932" s="2" t="s">
        <v>3379</v>
      </c>
      <c r="K932" s="2" t="s">
        <v>22</v>
      </c>
      <c r="L932" s="2" t="s">
        <v>99</v>
      </c>
      <c r="M932" s="3">
        <v>0</v>
      </c>
      <c r="N932" s="3">
        <v>1</v>
      </c>
      <c r="O932" s="9" t="s">
        <v>24</v>
      </c>
      <c r="P932" s="3">
        <v>9985.9599999999991</v>
      </c>
    </row>
    <row r="933" spans="1:16" x14ac:dyDescent="0.3">
      <c r="A933" s="2" t="s">
        <v>3380</v>
      </c>
      <c r="B933" s="2" t="s">
        <v>3381</v>
      </c>
      <c r="C933" s="2" t="s">
        <v>18</v>
      </c>
      <c r="D933" s="5">
        <v>41.165756600000002</v>
      </c>
      <c r="E933" s="5">
        <v>36.523403100000003</v>
      </c>
      <c r="F933" s="2" t="s">
        <v>3382</v>
      </c>
      <c r="G933" s="2" t="s">
        <v>28</v>
      </c>
      <c r="H933" s="2" t="s">
        <v>3271</v>
      </c>
      <c r="I933" s="2" t="s">
        <v>3271</v>
      </c>
      <c r="J933" s="2" t="s">
        <v>3383</v>
      </c>
      <c r="K933" s="2" t="s">
        <v>22</v>
      </c>
      <c r="L933" s="2" t="s">
        <v>39</v>
      </c>
      <c r="M933" s="3">
        <v>1</v>
      </c>
      <c r="N933" s="3">
        <v>1</v>
      </c>
      <c r="O933" s="9" t="s">
        <v>54</v>
      </c>
      <c r="P933" s="3">
        <v>0</v>
      </c>
    </row>
    <row r="934" spans="1:16" x14ac:dyDescent="0.3">
      <c r="A934" s="2" t="s">
        <v>3384</v>
      </c>
      <c r="B934" s="2" t="s">
        <v>3385</v>
      </c>
      <c r="C934" s="2" t="s">
        <v>18</v>
      </c>
      <c r="D934" s="5">
        <v>42.018368100000004</v>
      </c>
      <c r="E934" s="5">
        <v>35.134804299999999</v>
      </c>
      <c r="F934" s="2" t="s">
        <v>3386</v>
      </c>
      <c r="G934" s="2" t="s">
        <v>221</v>
      </c>
      <c r="H934" s="2" t="s">
        <v>1049</v>
      </c>
      <c r="I934" s="2" t="s">
        <v>1049</v>
      </c>
      <c r="J934" s="2" t="s">
        <v>3387</v>
      </c>
      <c r="K934" s="2" t="s">
        <v>154</v>
      </c>
      <c r="L934" s="2" t="s">
        <v>155</v>
      </c>
      <c r="M934" s="3">
        <v>1</v>
      </c>
      <c r="N934" s="3">
        <v>1</v>
      </c>
      <c r="O934" s="9" t="s">
        <v>24</v>
      </c>
      <c r="P934" s="3">
        <v>0</v>
      </c>
    </row>
    <row r="935" spans="1:16" x14ac:dyDescent="0.3">
      <c r="A935" s="2" t="s">
        <v>3388</v>
      </c>
      <c r="B935" s="2" t="s">
        <v>3389</v>
      </c>
      <c r="C935" s="2" t="s">
        <v>18</v>
      </c>
      <c r="D935" s="5">
        <v>41.180754</v>
      </c>
      <c r="E935" s="5">
        <v>37.041561399999999</v>
      </c>
      <c r="F935" s="2" t="s">
        <v>3373</v>
      </c>
      <c r="G935" s="2" t="s">
        <v>221</v>
      </c>
      <c r="H935" s="2" t="s">
        <v>926</v>
      </c>
      <c r="I935" s="2" t="s">
        <v>926</v>
      </c>
      <c r="J935" s="2" t="s">
        <v>3307</v>
      </c>
      <c r="K935" s="2" t="s">
        <v>22</v>
      </c>
      <c r="L935" s="2" t="s">
        <v>32</v>
      </c>
      <c r="M935" s="3">
        <v>3</v>
      </c>
      <c r="N935" s="3">
        <v>1</v>
      </c>
      <c r="O935" s="9" t="s">
        <v>24</v>
      </c>
      <c r="P935" s="3">
        <v>0</v>
      </c>
    </row>
    <row r="936" spans="1:16" x14ac:dyDescent="0.3">
      <c r="A936" s="2" t="s">
        <v>3390</v>
      </c>
      <c r="B936" s="2" t="s">
        <v>3391</v>
      </c>
      <c r="C936" s="2" t="s">
        <v>18</v>
      </c>
      <c r="D936" s="5">
        <v>41.353171699999997</v>
      </c>
      <c r="E936" s="5">
        <v>36.183966300000002</v>
      </c>
      <c r="F936" s="2" t="s">
        <v>3373</v>
      </c>
      <c r="G936" s="2" t="s">
        <v>221</v>
      </c>
      <c r="H936" s="2" t="s">
        <v>222</v>
      </c>
      <c r="I936" s="2" t="s">
        <v>222</v>
      </c>
      <c r="J936" s="2" t="s">
        <v>3307</v>
      </c>
      <c r="K936" s="2" t="s">
        <v>22</v>
      </c>
      <c r="L936" s="2" t="s">
        <v>32</v>
      </c>
      <c r="M936" s="3">
        <v>2</v>
      </c>
      <c r="N936" s="3">
        <v>1</v>
      </c>
      <c r="O936" s="9" t="s">
        <v>24</v>
      </c>
      <c r="P936" s="3">
        <v>0</v>
      </c>
    </row>
    <row r="937" spans="1:16" x14ac:dyDescent="0.3">
      <c r="A937" s="2" t="s">
        <v>3392</v>
      </c>
      <c r="B937" s="2" t="s">
        <v>3393</v>
      </c>
      <c r="C937" s="2" t="s">
        <v>18</v>
      </c>
      <c r="D937" s="5">
        <v>41.315015000000002</v>
      </c>
      <c r="E937" s="5">
        <v>36.336069199999997</v>
      </c>
      <c r="F937" s="2" t="s">
        <v>3373</v>
      </c>
      <c r="G937" s="2" t="s">
        <v>221</v>
      </c>
      <c r="H937" s="2" t="s">
        <v>222</v>
      </c>
      <c r="I937" s="2" t="s">
        <v>222</v>
      </c>
      <c r="J937" s="2" t="s">
        <v>3307</v>
      </c>
      <c r="K937" s="2" t="s">
        <v>22</v>
      </c>
      <c r="L937" s="2" t="s">
        <v>32</v>
      </c>
      <c r="M937" s="3">
        <v>0</v>
      </c>
      <c r="N937" s="3">
        <v>1</v>
      </c>
      <c r="O937" s="9" t="s">
        <v>24</v>
      </c>
      <c r="P937" s="3">
        <v>0</v>
      </c>
    </row>
    <row r="938" spans="1:16" x14ac:dyDescent="0.3">
      <c r="A938" s="2" t="s">
        <v>3394</v>
      </c>
      <c r="B938" s="2" t="s">
        <v>3395</v>
      </c>
      <c r="C938" s="2" t="s">
        <v>18</v>
      </c>
      <c r="D938" s="5">
        <v>41.271530800000001</v>
      </c>
      <c r="E938" s="5">
        <v>36.372823199999999</v>
      </c>
      <c r="F938" s="2" t="s">
        <v>3373</v>
      </c>
      <c r="G938" s="2" t="s">
        <v>221</v>
      </c>
      <c r="H938" s="2" t="s">
        <v>222</v>
      </c>
      <c r="I938" s="2" t="s">
        <v>222</v>
      </c>
      <c r="J938" s="2" t="s">
        <v>3307</v>
      </c>
      <c r="K938" s="2" t="s">
        <v>22</v>
      </c>
      <c r="L938" s="2" t="s">
        <v>32</v>
      </c>
      <c r="M938" s="3">
        <v>4</v>
      </c>
      <c r="N938" s="3">
        <v>1</v>
      </c>
      <c r="O938" s="9" t="s">
        <v>24</v>
      </c>
      <c r="P938" s="3">
        <v>0</v>
      </c>
    </row>
    <row r="939" spans="1:16" x14ac:dyDescent="0.3">
      <c r="A939" s="2" t="s">
        <v>3396</v>
      </c>
      <c r="B939" s="2" t="s">
        <v>3397</v>
      </c>
      <c r="C939" s="2" t="s">
        <v>18</v>
      </c>
      <c r="D939" s="5">
        <v>41.271514400000001</v>
      </c>
      <c r="E939" s="5">
        <v>36.371831100000001</v>
      </c>
      <c r="F939" s="2" t="s">
        <v>3373</v>
      </c>
      <c r="G939" s="2" t="s">
        <v>221</v>
      </c>
      <c r="H939" s="2" t="s">
        <v>222</v>
      </c>
      <c r="I939" s="2" t="s">
        <v>222</v>
      </c>
      <c r="J939" s="2" t="s">
        <v>3307</v>
      </c>
      <c r="K939" s="2" t="s">
        <v>22</v>
      </c>
      <c r="L939" s="2" t="s">
        <v>32</v>
      </c>
      <c r="M939" s="3">
        <v>2</v>
      </c>
      <c r="N939" s="3">
        <v>1</v>
      </c>
      <c r="O939" s="9" t="s">
        <v>24</v>
      </c>
      <c r="P939" s="3">
        <v>0</v>
      </c>
    </row>
    <row r="940" spans="1:16" x14ac:dyDescent="0.3">
      <c r="A940" s="2" t="s">
        <v>3398</v>
      </c>
      <c r="B940" s="2" t="s">
        <v>3399</v>
      </c>
      <c r="C940" s="2" t="s">
        <v>18</v>
      </c>
      <c r="D940" s="5">
        <v>41.279236699999998</v>
      </c>
      <c r="E940" s="5">
        <v>35.430646699999997</v>
      </c>
      <c r="F940" s="2" t="s">
        <v>3373</v>
      </c>
      <c r="G940" s="2" t="s">
        <v>221</v>
      </c>
      <c r="H940" s="2" t="s">
        <v>222</v>
      </c>
      <c r="I940" s="2" t="s">
        <v>222</v>
      </c>
      <c r="J940" s="2" t="s">
        <v>3307</v>
      </c>
      <c r="K940" s="2" t="s">
        <v>22</v>
      </c>
      <c r="L940" s="2" t="s">
        <v>32</v>
      </c>
      <c r="M940" s="3">
        <v>1</v>
      </c>
      <c r="N940" s="3">
        <v>1</v>
      </c>
      <c r="O940" s="9" t="s">
        <v>24</v>
      </c>
      <c r="P940" s="3">
        <v>0</v>
      </c>
    </row>
    <row r="941" spans="1:16" x14ac:dyDescent="0.3">
      <c r="A941" s="2" t="s">
        <v>3400</v>
      </c>
      <c r="B941" s="2" t="s">
        <v>3401</v>
      </c>
      <c r="C941" s="2" t="s">
        <v>18</v>
      </c>
      <c r="D941" s="5">
        <v>41.137623400000003</v>
      </c>
      <c r="E941" s="5">
        <v>37.2871138</v>
      </c>
      <c r="F941" s="2" t="s">
        <v>3402</v>
      </c>
      <c r="G941" s="2" t="s">
        <v>28</v>
      </c>
      <c r="H941" s="2" t="s">
        <v>29</v>
      </c>
      <c r="I941" s="2" t="s">
        <v>30</v>
      </c>
      <c r="J941" s="2" t="s">
        <v>3403</v>
      </c>
      <c r="K941" s="2" t="s">
        <v>63</v>
      </c>
      <c r="L941" s="2" t="s">
        <v>89</v>
      </c>
      <c r="M941" s="3">
        <v>1</v>
      </c>
      <c r="N941" s="3">
        <v>1</v>
      </c>
      <c r="O941" s="9" t="s">
        <v>24</v>
      </c>
      <c r="P941" s="3">
        <v>0</v>
      </c>
    </row>
    <row r="942" spans="1:16" x14ac:dyDescent="0.3">
      <c r="A942" s="2" t="s">
        <v>3404</v>
      </c>
      <c r="B942" s="2" t="s">
        <v>3405</v>
      </c>
      <c r="C942" s="2" t="s">
        <v>18</v>
      </c>
      <c r="D942" s="5">
        <v>41.494509200000003</v>
      </c>
      <c r="E942" s="5">
        <v>36.074714899999996</v>
      </c>
      <c r="F942" s="2" t="s">
        <v>3406</v>
      </c>
      <c r="G942" s="2" t="s">
        <v>221</v>
      </c>
      <c r="H942" s="2" t="s">
        <v>222</v>
      </c>
      <c r="I942" s="2" t="s">
        <v>222</v>
      </c>
      <c r="J942" s="2" t="s">
        <v>3407</v>
      </c>
      <c r="K942" s="2" t="s">
        <v>22</v>
      </c>
      <c r="L942" s="2" t="s">
        <v>394</v>
      </c>
      <c r="M942" s="3">
        <v>1</v>
      </c>
      <c r="N942" s="3">
        <v>1</v>
      </c>
      <c r="O942" s="9" t="s">
        <v>24</v>
      </c>
      <c r="P942" s="3">
        <v>0</v>
      </c>
    </row>
    <row r="943" spans="1:16" x14ac:dyDescent="0.3">
      <c r="A943" s="2" t="s">
        <v>3408</v>
      </c>
      <c r="B943" s="2" t="s">
        <v>3409</v>
      </c>
      <c r="C943" s="2" t="s">
        <v>18</v>
      </c>
      <c r="D943" s="5">
        <v>41.197119000000001</v>
      </c>
      <c r="E943" s="5">
        <v>36.722075500000003</v>
      </c>
      <c r="F943" s="2" t="s">
        <v>3410</v>
      </c>
      <c r="G943" s="2" t="s">
        <v>28</v>
      </c>
      <c r="H943" s="2" t="s">
        <v>29</v>
      </c>
      <c r="I943" s="2" t="s">
        <v>30</v>
      </c>
      <c r="J943" s="2" t="s">
        <v>3411</v>
      </c>
      <c r="K943" s="2" t="s">
        <v>22</v>
      </c>
      <c r="L943" s="2" t="s">
        <v>44</v>
      </c>
      <c r="M943" s="3">
        <v>1</v>
      </c>
      <c r="N943" s="3">
        <v>1</v>
      </c>
      <c r="O943" s="9" t="s">
        <v>24</v>
      </c>
      <c r="P943" s="3">
        <v>-5.15</v>
      </c>
    </row>
    <row r="944" spans="1:16" x14ac:dyDescent="0.3">
      <c r="A944" s="2" t="s">
        <v>3412</v>
      </c>
      <c r="B944" s="2" t="s">
        <v>3413</v>
      </c>
      <c r="C944" s="2" t="s">
        <v>18</v>
      </c>
      <c r="D944" s="5">
        <v>41.3602104</v>
      </c>
      <c r="E944" s="5">
        <v>36.235359799999998</v>
      </c>
      <c r="F944" s="2" t="s">
        <v>3414</v>
      </c>
      <c r="G944" s="2" t="s">
        <v>221</v>
      </c>
      <c r="H944" s="2" t="s">
        <v>222</v>
      </c>
      <c r="I944" s="2" t="s">
        <v>222</v>
      </c>
      <c r="J944" s="2" t="s">
        <v>3415</v>
      </c>
      <c r="K944" s="2" t="s">
        <v>22</v>
      </c>
      <c r="L944" s="2" t="s">
        <v>23</v>
      </c>
      <c r="M944" s="3">
        <v>0</v>
      </c>
      <c r="N944" s="3">
        <v>1</v>
      </c>
      <c r="O944" s="9" t="s">
        <v>24</v>
      </c>
      <c r="P944" s="3">
        <v>2749.98</v>
      </c>
    </row>
    <row r="945" spans="1:16" x14ac:dyDescent="0.3">
      <c r="A945" s="2" t="s">
        <v>3416</v>
      </c>
      <c r="B945" s="2" t="s">
        <v>3417</v>
      </c>
      <c r="C945" s="2" t="s">
        <v>18</v>
      </c>
      <c r="D945" s="5">
        <v>41.009774200000003</v>
      </c>
      <c r="E945" s="5">
        <v>35.857994599999998</v>
      </c>
      <c r="F945" s="2" t="s">
        <v>3418</v>
      </c>
      <c r="G945" s="2" t="s">
        <v>28</v>
      </c>
      <c r="H945" s="2" t="s">
        <v>29</v>
      </c>
      <c r="I945" s="2" t="s">
        <v>30</v>
      </c>
      <c r="J945" s="2" t="s">
        <v>3419</v>
      </c>
      <c r="K945" s="2" t="s">
        <v>22</v>
      </c>
      <c r="L945" s="2" t="s">
        <v>76</v>
      </c>
      <c r="M945" s="3">
        <v>0</v>
      </c>
      <c r="N945" s="3">
        <v>1</v>
      </c>
      <c r="O945" s="9" t="s">
        <v>54</v>
      </c>
      <c r="P945" s="3">
        <v>0</v>
      </c>
    </row>
    <row r="946" spans="1:16" x14ac:dyDescent="0.3">
      <c r="A946" s="2" t="s">
        <v>3420</v>
      </c>
      <c r="B946" s="2" t="s">
        <v>3421</v>
      </c>
      <c r="C946" s="2" t="s">
        <v>18</v>
      </c>
      <c r="D946" s="5">
        <v>41.208717499999999</v>
      </c>
      <c r="E946" s="5">
        <v>36.695106500000001</v>
      </c>
      <c r="F946" s="2" t="s">
        <v>3422</v>
      </c>
      <c r="G946" s="2" t="s">
        <v>28</v>
      </c>
      <c r="H946" s="2" t="s">
        <v>3271</v>
      </c>
      <c r="I946" s="2" t="s">
        <v>3271</v>
      </c>
      <c r="J946" s="2" t="s">
        <v>3423</v>
      </c>
      <c r="K946" s="2" t="s">
        <v>22</v>
      </c>
      <c r="L946" s="2" t="s">
        <v>44</v>
      </c>
      <c r="M946" s="3">
        <v>1</v>
      </c>
      <c r="N946" s="3">
        <v>1</v>
      </c>
      <c r="O946" s="9" t="s">
        <v>24</v>
      </c>
      <c r="P946" s="3">
        <v>-673.5</v>
      </c>
    </row>
    <row r="947" spans="1:16" x14ac:dyDescent="0.3">
      <c r="A947" s="2" t="s">
        <v>3424</v>
      </c>
      <c r="B947" s="2" t="s">
        <v>3425</v>
      </c>
      <c r="C947" s="2" t="s">
        <v>18</v>
      </c>
      <c r="D947" s="5">
        <v>41.295706699999997</v>
      </c>
      <c r="E947" s="5">
        <v>36.332672899999999</v>
      </c>
      <c r="F947" s="2" t="s">
        <v>3373</v>
      </c>
      <c r="G947" s="2" t="s">
        <v>221</v>
      </c>
      <c r="H947" s="2" t="s">
        <v>222</v>
      </c>
      <c r="I947" s="2" t="s">
        <v>222</v>
      </c>
      <c r="J947" s="2" t="s">
        <v>3307</v>
      </c>
      <c r="K947" s="2" t="s">
        <v>22</v>
      </c>
      <c r="L947" s="2" t="s">
        <v>32</v>
      </c>
      <c r="M947" s="3">
        <v>1</v>
      </c>
      <c r="N947" s="3">
        <v>1</v>
      </c>
      <c r="O947" s="9" t="s">
        <v>24</v>
      </c>
      <c r="P947" s="3">
        <v>0</v>
      </c>
    </row>
    <row r="948" spans="1:16" x14ac:dyDescent="0.3">
      <c r="A948" s="2" t="s">
        <v>3426</v>
      </c>
      <c r="B948" s="2" t="s">
        <v>3427</v>
      </c>
      <c r="C948" s="2" t="s">
        <v>18</v>
      </c>
      <c r="D948" s="5">
        <v>41.327052999999999</v>
      </c>
      <c r="E948" s="5">
        <v>36.308266000000003</v>
      </c>
      <c r="F948" s="2" t="s">
        <v>3373</v>
      </c>
      <c r="G948" s="2" t="s">
        <v>221</v>
      </c>
      <c r="H948" s="2" t="s">
        <v>222</v>
      </c>
      <c r="I948" s="2" t="s">
        <v>222</v>
      </c>
      <c r="J948" s="2" t="s">
        <v>3307</v>
      </c>
      <c r="K948" s="2" t="s">
        <v>22</v>
      </c>
      <c r="L948" s="2" t="s">
        <v>32</v>
      </c>
      <c r="M948" s="3">
        <v>0</v>
      </c>
      <c r="N948" s="3">
        <v>1</v>
      </c>
      <c r="O948" s="9" t="s">
        <v>24</v>
      </c>
      <c r="P948" s="3">
        <v>0</v>
      </c>
    </row>
    <row r="949" spans="1:16" x14ac:dyDescent="0.3">
      <c r="A949" s="2" t="s">
        <v>3428</v>
      </c>
      <c r="B949" s="2" t="s">
        <v>3429</v>
      </c>
      <c r="C949" s="2" t="s">
        <v>18</v>
      </c>
      <c r="D949" s="5">
        <v>41.282469200000001</v>
      </c>
      <c r="E949" s="5">
        <v>36.333099300000001</v>
      </c>
      <c r="F949" s="2" t="s">
        <v>3373</v>
      </c>
      <c r="G949" s="2" t="s">
        <v>221</v>
      </c>
      <c r="H949" s="2" t="s">
        <v>222</v>
      </c>
      <c r="I949" s="2" t="s">
        <v>222</v>
      </c>
      <c r="J949" s="2" t="s">
        <v>3307</v>
      </c>
      <c r="K949" s="2" t="s">
        <v>22</v>
      </c>
      <c r="L949" s="2" t="s">
        <v>32</v>
      </c>
      <c r="M949" s="3">
        <v>1</v>
      </c>
      <c r="N949" s="3">
        <v>1</v>
      </c>
      <c r="O949" s="9" t="s">
        <v>24</v>
      </c>
      <c r="P949" s="3">
        <v>0</v>
      </c>
    </row>
    <row r="950" spans="1:16" x14ac:dyDescent="0.3">
      <c r="A950" s="2" t="s">
        <v>3430</v>
      </c>
      <c r="B950" s="2" t="s">
        <v>3431</v>
      </c>
      <c r="C950" s="2" t="s">
        <v>18</v>
      </c>
      <c r="D950" s="5">
        <v>41.293035699999997</v>
      </c>
      <c r="E950" s="5">
        <v>36.332584599999997</v>
      </c>
      <c r="F950" s="2" t="s">
        <v>3373</v>
      </c>
      <c r="G950" s="2" t="s">
        <v>221</v>
      </c>
      <c r="H950" s="2" t="s">
        <v>222</v>
      </c>
      <c r="I950" s="2" t="s">
        <v>222</v>
      </c>
      <c r="J950" s="2" t="s">
        <v>3307</v>
      </c>
      <c r="K950" s="2" t="s">
        <v>22</v>
      </c>
      <c r="L950" s="2" t="s">
        <v>32</v>
      </c>
      <c r="M950" s="3">
        <v>0</v>
      </c>
      <c r="N950" s="3">
        <v>1</v>
      </c>
      <c r="O950" s="9" t="s">
        <v>24</v>
      </c>
      <c r="P950" s="3">
        <v>0</v>
      </c>
    </row>
    <row r="951" spans="1:16" x14ac:dyDescent="0.3">
      <c r="A951" s="2" t="s">
        <v>3432</v>
      </c>
      <c r="B951" s="2" t="s">
        <v>3433</v>
      </c>
      <c r="C951" s="2" t="s">
        <v>18</v>
      </c>
      <c r="D951" s="5">
        <v>40.7825086</v>
      </c>
      <c r="E951" s="5">
        <v>37.0356466</v>
      </c>
      <c r="F951" s="2" t="s">
        <v>3434</v>
      </c>
      <c r="G951" s="2" t="s">
        <v>221</v>
      </c>
      <c r="H951" s="2" t="s">
        <v>222</v>
      </c>
      <c r="I951" s="2" t="s">
        <v>222</v>
      </c>
      <c r="J951" s="2" t="s">
        <v>3435</v>
      </c>
      <c r="K951" s="2" t="s">
        <v>63</v>
      </c>
      <c r="L951" s="2" t="s">
        <v>64</v>
      </c>
      <c r="M951" s="3">
        <v>2</v>
      </c>
      <c r="N951" s="3">
        <v>1</v>
      </c>
      <c r="O951" s="9" t="s">
        <v>24</v>
      </c>
      <c r="P951" s="3">
        <v>-242.08</v>
      </c>
    </row>
    <row r="952" spans="1:16" x14ac:dyDescent="0.3">
      <c r="A952" s="2" t="s">
        <v>3436</v>
      </c>
      <c r="B952" s="2" t="s">
        <v>3437</v>
      </c>
      <c r="C952" s="2" t="s">
        <v>18</v>
      </c>
      <c r="D952" s="5">
        <v>41.145098900000001</v>
      </c>
      <c r="E952" s="5">
        <v>37.255426800000002</v>
      </c>
      <c r="F952" s="2" t="s">
        <v>3438</v>
      </c>
      <c r="G952" s="2" t="s">
        <v>221</v>
      </c>
      <c r="H952" s="2" t="s">
        <v>222</v>
      </c>
      <c r="I952" s="2" t="s">
        <v>222</v>
      </c>
      <c r="J952" s="2" t="s">
        <v>3439</v>
      </c>
      <c r="K952" s="2" t="s">
        <v>63</v>
      </c>
      <c r="L952" s="2" t="s">
        <v>89</v>
      </c>
      <c r="M952" s="3">
        <v>1</v>
      </c>
      <c r="N952" s="3">
        <v>1</v>
      </c>
      <c r="O952" s="9" t="s">
        <v>24</v>
      </c>
      <c r="P952" s="3">
        <v>-0.01</v>
      </c>
    </row>
    <row r="953" spans="1:16" x14ac:dyDescent="0.3">
      <c r="A953" s="2" t="s">
        <v>3440</v>
      </c>
      <c r="B953" s="2" t="s">
        <v>3441</v>
      </c>
      <c r="C953" s="2" t="s">
        <v>18</v>
      </c>
      <c r="D953" s="5">
        <v>41.265154299999999</v>
      </c>
      <c r="E953" s="5">
        <v>36.374524700000002</v>
      </c>
      <c r="F953" s="2" t="s">
        <v>3442</v>
      </c>
      <c r="G953" s="2" t="s">
        <v>28</v>
      </c>
      <c r="H953" s="2" t="s">
        <v>29</v>
      </c>
      <c r="I953" s="2" t="s">
        <v>30</v>
      </c>
      <c r="J953" s="2" t="s">
        <v>3443</v>
      </c>
      <c r="K953" s="2" t="s">
        <v>22</v>
      </c>
      <c r="L953" s="2" t="s">
        <v>99</v>
      </c>
      <c r="M953" s="3">
        <v>1</v>
      </c>
      <c r="N953" s="3">
        <v>1</v>
      </c>
      <c r="O953" s="9" t="s">
        <v>24</v>
      </c>
      <c r="P953" s="3">
        <v>-0.13</v>
      </c>
    </row>
    <row r="954" spans="1:16" x14ac:dyDescent="0.3">
      <c r="A954" s="2" t="s">
        <v>3444</v>
      </c>
      <c r="B954" s="2" t="s">
        <v>3445</v>
      </c>
      <c r="C954" s="2" t="s">
        <v>18</v>
      </c>
      <c r="D954" s="5">
        <v>40.990391700000004</v>
      </c>
      <c r="E954" s="5">
        <v>36.632930799999997</v>
      </c>
      <c r="F954" s="2" t="s">
        <v>3373</v>
      </c>
      <c r="G954" s="2" t="s">
        <v>221</v>
      </c>
      <c r="H954" s="2" t="s">
        <v>222</v>
      </c>
      <c r="I954" s="2" t="s">
        <v>222</v>
      </c>
      <c r="J954" s="2" t="s">
        <v>3320</v>
      </c>
      <c r="K954" s="2" t="s">
        <v>22</v>
      </c>
      <c r="L954" s="2" t="s">
        <v>32</v>
      </c>
      <c r="M954" s="3">
        <v>3</v>
      </c>
      <c r="N954" s="3">
        <v>1</v>
      </c>
      <c r="O954" s="9" t="s">
        <v>24</v>
      </c>
      <c r="P954" s="3">
        <v>0</v>
      </c>
    </row>
    <row r="955" spans="1:16" x14ac:dyDescent="0.3">
      <c r="A955" s="2" t="s">
        <v>3446</v>
      </c>
      <c r="B955" s="2" t="s">
        <v>3447</v>
      </c>
      <c r="C955" s="2" t="s">
        <v>18</v>
      </c>
      <c r="D955" s="5">
        <v>0</v>
      </c>
      <c r="E955" s="5">
        <v>0</v>
      </c>
      <c r="F955" s="2" t="s">
        <v>3448</v>
      </c>
      <c r="G955" s="2" t="s">
        <v>28</v>
      </c>
      <c r="H955" s="2" t="s">
        <v>29</v>
      </c>
      <c r="I955" s="2" t="s">
        <v>30</v>
      </c>
      <c r="J955" s="2" t="s">
        <v>3449</v>
      </c>
      <c r="K955" s="2" t="s">
        <v>22</v>
      </c>
      <c r="L955" s="2" t="s">
        <v>39</v>
      </c>
      <c r="M955" s="3">
        <v>0</v>
      </c>
      <c r="N955" s="3">
        <v>0</v>
      </c>
      <c r="O955" s="9" t="s">
        <v>24</v>
      </c>
      <c r="P955" s="3">
        <v>0</v>
      </c>
    </row>
    <row r="956" spans="1:16" x14ac:dyDescent="0.3">
      <c r="A956" s="2" t="s">
        <v>3450</v>
      </c>
      <c r="B956" s="2" t="s">
        <v>3451</v>
      </c>
      <c r="C956" s="2" t="s">
        <v>18</v>
      </c>
      <c r="D956" s="5">
        <v>41.303850799999999</v>
      </c>
      <c r="E956" s="5">
        <v>36.283321600000001</v>
      </c>
      <c r="F956" s="2" t="s">
        <v>54</v>
      </c>
      <c r="G956" s="2" t="s">
        <v>20</v>
      </c>
      <c r="H956" s="2" t="s">
        <v>20</v>
      </c>
      <c r="I956" s="2" t="s">
        <v>1369</v>
      </c>
      <c r="J956" s="2" t="s">
        <v>3452</v>
      </c>
      <c r="K956" s="2" t="s">
        <v>22</v>
      </c>
      <c r="L956" s="2" t="s">
        <v>23</v>
      </c>
      <c r="M956" s="3">
        <v>1</v>
      </c>
      <c r="N956" s="3">
        <v>1</v>
      </c>
      <c r="O956" s="9" t="s">
        <v>24</v>
      </c>
      <c r="P956" s="3">
        <v>0</v>
      </c>
    </row>
    <row r="957" spans="1:16" x14ac:dyDescent="0.3">
      <c r="A957" s="2" t="s">
        <v>3453</v>
      </c>
      <c r="B957" s="2" t="s">
        <v>3454</v>
      </c>
      <c r="C957" s="2" t="s">
        <v>18</v>
      </c>
      <c r="D957" s="5">
        <v>41.2810621</v>
      </c>
      <c r="E957" s="5">
        <v>36.7425347</v>
      </c>
      <c r="F957" s="2" t="s">
        <v>3455</v>
      </c>
      <c r="G957" s="2" t="s">
        <v>28</v>
      </c>
      <c r="H957" s="2" t="s">
        <v>29</v>
      </c>
      <c r="I957" s="2" t="s">
        <v>30</v>
      </c>
      <c r="J957" s="2" t="s">
        <v>3456</v>
      </c>
      <c r="K957" s="2" t="s">
        <v>22</v>
      </c>
      <c r="L957" s="2" t="s">
        <v>44</v>
      </c>
      <c r="M957" s="3">
        <v>2</v>
      </c>
      <c r="N957" s="3">
        <v>1</v>
      </c>
      <c r="O957" s="9" t="s">
        <v>24</v>
      </c>
      <c r="P957" s="3">
        <v>-1009.75</v>
      </c>
    </row>
    <row r="958" spans="1:16" x14ac:dyDescent="0.3">
      <c r="A958" s="2" t="s">
        <v>3457</v>
      </c>
      <c r="B958" s="2" t="s">
        <v>3458</v>
      </c>
      <c r="C958" s="2" t="s">
        <v>18</v>
      </c>
      <c r="D958" s="5">
        <v>41.985825200000001</v>
      </c>
      <c r="E958" s="5">
        <v>35.083994500000003</v>
      </c>
      <c r="F958" s="2" t="s">
        <v>1542</v>
      </c>
      <c r="G958" s="2" t="s">
        <v>221</v>
      </c>
      <c r="H958" s="2" t="s">
        <v>222</v>
      </c>
      <c r="I958" s="2" t="s">
        <v>222</v>
      </c>
      <c r="J958" s="2" t="s">
        <v>3459</v>
      </c>
      <c r="K958" s="2" t="s">
        <v>154</v>
      </c>
      <c r="L958" s="2" t="s">
        <v>155</v>
      </c>
      <c r="M958" s="3">
        <v>1</v>
      </c>
      <c r="N958" s="3">
        <v>1</v>
      </c>
      <c r="O958" s="9" t="s">
        <v>24</v>
      </c>
      <c r="P958" s="3">
        <v>0</v>
      </c>
    </row>
    <row r="959" spans="1:16" x14ac:dyDescent="0.3">
      <c r="A959" s="2" t="s">
        <v>3460</v>
      </c>
      <c r="B959" s="2" t="s">
        <v>3461</v>
      </c>
      <c r="C959" s="2" t="s">
        <v>18</v>
      </c>
      <c r="D959" s="5">
        <v>41.633468100000002</v>
      </c>
      <c r="E959" s="5">
        <v>35.607162500000001</v>
      </c>
      <c r="F959" s="2" t="s">
        <v>1365</v>
      </c>
      <c r="G959" s="2" t="s">
        <v>221</v>
      </c>
      <c r="H959" s="2" t="s">
        <v>1049</v>
      </c>
      <c r="I959" s="2" t="s">
        <v>1049</v>
      </c>
      <c r="J959" s="2" t="s">
        <v>3462</v>
      </c>
      <c r="K959" s="2" t="s">
        <v>22</v>
      </c>
      <c r="L959" s="2" t="s">
        <v>265</v>
      </c>
      <c r="M959" s="3">
        <v>1</v>
      </c>
      <c r="N959" s="3">
        <v>1</v>
      </c>
      <c r="O959" s="9" t="s">
        <v>24</v>
      </c>
      <c r="P959" s="3">
        <v>7226.34</v>
      </c>
    </row>
    <row r="960" spans="1:16" x14ac:dyDescent="0.3">
      <c r="A960" s="2" t="s">
        <v>3463</v>
      </c>
      <c r="B960" s="2" t="s">
        <v>3464</v>
      </c>
      <c r="C960" s="2" t="s">
        <v>18</v>
      </c>
      <c r="D960" s="5">
        <v>41.321086700000002</v>
      </c>
      <c r="E960" s="5">
        <v>36.328231700000003</v>
      </c>
      <c r="F960" s="2" t="s">
        <v>3465</v>
      </c>
      <c r="G960" s="2" t="s">
        <v>221</v>
      </c>
      <c r="H960" s="2" t="s">
        <v>222</v>
      </c>
      <c r="I960" s="2" t="s">
        <v>222</v>
      </c>
      <c r="J960" s="2" t="s">
        <v>3466</v>
      </c>
      <c r="K960" s="2" t="s">
        <v>22</v>
      </c>
      <c r="L960" s="2" t="s">
        <v>32</v>
      </c>
      <c r="M960" s="3">
        <v>1</v>
      </c>
      <c r="N960" s="3">
        <v>1</v>
      </c>
      <c r="O960" s="9" t="s">
        <v>24</v>
      </c>
      <c r="P960" s="3">
        <v>0.35</v>
      </c>
    </row>
    <row r="961" spans="1:16" x14ac:dyDescent="0.3">
      <c r="A961" s="2" t="s">
        <v>3467</v>
      </c>
      <c r="B961" s="2" t="s">
        <v>3468</v>
      </c>
      <c r="C961" s="2" t="s">
        <v>18</v>
      </c>
      <c r="D961" s="5">
        <v>41.325113299999998</v>
      </c>
      <c r="E961" s="5">
        <v>36.234641699999997</v>
      </c>
      <c r="F961" s="2" t="s">
        <v>3469</v>
      </c>
      <c r="G961" s="2" t="s">
        <v>221</v>
      </c>
      <c r="H961" s="2" t="s">
        <v>222</v>
      </c>
      <c r="I961" s="2" t="s">
        <v>222</v>
      </c>
      <c r="J961" s="2" t="s">
        <v>3470</v>
      </c>
      <c r="K961" s="2" t="s">
        <v>3471</v>
      </c>
      <c r="L961" s="2" t="s">
        <v>3472</v>
      </c>
      <c r="M961" s="3">
        <v>0</v>
      </c>
      <c r="N961" s="3">
        <v>1</v>
      </c>
      <c r="O961" s="9" t="s">
        <v>24</v>
      </c>
      <c r="P961" s="3">
        <v>0</v>
      </c>
    </row>
    <row r="962" spans="1:16" x14ac:dyDescent="0.3">
      <c r="A962" s="2" t="s">
        <v>3473</v>
      </c>
      <c r="B962" s="2" t="s">
        <v>3474</v>
      </c>
      <c r="C962" s="2" t="s">
        <v>18</v>
      </c>
      <c r="D962" s="5">
        <v>41.1994021</v>
      </c>
      <c r="E962" s="5">
        <v>36.708460700000003</v>
      </c>
      <c r="F962" s="2" t="s">
        <v>3475</v>
      </c>
      <c r="G962" s="2" t="s">
        <v>28</v>
      </c>
      <c r="H962" s="2" t="s">
        <v>29</v>
      </c>
      <c r="I962" s="2" t="s">
        <v>30</v>
      </c>
      <c r="J962" s="2" t="s">
        <v>3476</v>
      </c>
      <c r="K962" s="2" t="s">
        <v>22</v>
      </c>
      <c r="L962" s="2" t="s">
        <v>44</v>
      </c>
      <c r="M962" s="3">
        <v>1</v>
      </c>
      <c r="N962" s="3">
        <v>1</v>
      </c>
      <c r="O962" s="9" t="s">
        <v>24</v>
      </c>
      <c r="P962" s="3">
        <v>-2.93</v>
      </c>
    </row>
    <row r="963" spans="1:16" x14ac:dyDescent="0.3">
      <c r="A963" s="2" t="s">
        <v>3477</v>
      </c>
      <c r="B963" s="2" t="s">
        <v>3478</v>
      </c>
      <c r="C963" s="2" t="s">
        <v>18</v>
      </c>
      <c r="D963" s="5">
        <v>40.988934</v>
      </c>
      <c r="E963" s="5">
        <v>36.632695699999999</v>
      </c>
      <c r="F963" s="2" t="s">
        <v>3479</v>
      </c>
      <c r="G963" s="2" t="s">
        <v>28</v>
      </c>
      <c r="H963" s="2" t="s">
        <v>29</v>
      </c>
      <c r="I963" s="2" t="s">
        <v>30</v>
      </c>
      <c r="J963" s="2" t="s">
        <v>3480</v>
      </c>
      <c r="K963" s="2" t="s">
        <v>22</v>
      </c>
      <c r="L963" s="2" t="s">
        <v>44</v>
      </c>
      <c r="M963" s="3">
        <v>0</v>
      </c>
      <c r="N963" s="3">
        <v>1</v>
      </c>
      <c r="O963" s="9" t="s">
        <v>24</v>
      </c>
      <c r="P963" s="3">
        <v>-0.04</v>
      </c>
    </row>
    <row r="964" spans="1:16" x14ac:dyDescent="0.3">
      <c r="A964" s="2" t="s">
        <v>3481</v>
      </c>
      <c r="B964" s="2" t="s">
        <v>3482</v>
      </c>
      <c r="C964" s="2" t="s">
        <v>18</v>
      </c>
      <c r="D964" s="5">
        <v>41.196470400000003</v>
      </c>
      <c r="E964" s="5">
        <v>36.729422499999998</v>
      </c>
      <c r="F964" s="2" t="s">
        <v>3483</v>
      </c>
      <c r="G964" s="2" t="s">
        <v>28</v>
      </c>
      <c r="H964" s="2" t="s">
        <v>29</v>
      </c>
      <c r="I964" s="2" t="s">
        <v>30</v>
      </c>
      <c r="J964" s="2" t="s">
        <v>3484</v>
      </c>
      <c r="K964" s="2" t="s">
        <v>22</v>
      </c>
      <c r="L964" s="2" t="s">
        <v>44</v>
      </c>
      <c r="M964" s="3">
        <v>1</v>
      </c>
      <c r="N964" s="3">
        <v>1</v>
      </c>
      <c r="O964" s="9" t="s">
        <v>54</v>
      </c>
      <c r="P964" s="3">
        <v>32767.67</v>
      </c>
    </row>
    <row r="965" spans="1:16" x14ac:dyDescent="0.3">
      <c r="A965" s="2" t="s">
        <v>3485</v>
      </c>
      <c r="B965" s="2" t="s">
        <v>3486</v>
      </c>
      <c r="C965" s="2" t="s">
        <v>18</v>
      </c>
      <c r="D965" s="5">
        <v>41.1775424</v>
      </c>
      <c r="E965" s="5">
        <v>36.7258973</v>
      </c>
      <c r="F965" s="2" t="s">
        <v>3487</v>
      </c>
      <c r="G965" s="2" t="s">
        <v>28</v>
      </c>
      <c r="H965" s="2" t="s">
        <v>29</v>
      </c>
      <c r="I965" s="2" t="s">
        <v>30</v>
      </c>
      <c r="J965" s="2" t="s">
        <v>3488</v>
      </c>
      <c r="K965" s="2" t="s">
        <v>22</v>
      </c>
      <c r="L965" s="2" t="s">
        <v>44</v>
      </c>
      <c r="M965" s="3">
        <v>1</v>
      </c>
      <c r="N965" s="3">
        <v>1</v>
      </c>
      <c r="O965" s="9" t="s">
        <v>24</v>
      </c>
      <c r="P965" s="3">
        <v>-703.21</v>
      </c>
    </row>
    <row r="966" spans="1:16" x14ac:dyDescent="0.3">
      <c r="A966" s="2" t="s">
        <v>3489</v>
      </c>
      <c r="B966" s="2" t="s">
        <v>3490</v>
      </c>
      <c r="C966" s="2" t="s">
        <v>18</v>
      </c>
      <c r="D966" s="5">
        <v>41.325581700000001</v>
      </c>
      <c r="E966" s="5">
        <v>36.297921000000002</v>
      </c>
      <c r="F966" s="2" t="s">
        <v>3491</v>
      </c>
      <c r="G966" s="2" t="s">
        <v>28</v>
      </c>
      <c r="H966" s="2" t="s">
        <v>29</v>
      </c>
      <c r="I966" s="2" t="s">
        <v>30</v>
      </c>
      <c r="J966" s="2" t="s">
        <v>3492</v>
      </c>
      <c r="K966" s="2" t="s">
        <v>22</v>
      </c>
      <c r="L966" s="2" t="s">
        <v>23</v>
      </c>
      <c r="M966" s="3">
        <v>1</v>
      </c>
      <c r="N966" s="3">
        <v>1</v>
      </c>
      <c r="O966" s="9" t="s">
        <v>24</v>
      </c>
      <c r="P966" s="3">
        <v>0</v>
      </c>
    </row>
    <row r="967" spans="1:16" x14ac:dyDescent="0.3">
      <c r="A967" s="2" t="s">
        <v>3493</v>
      </c>
      <c r="B967" s="2" t="s">
        <v>3494</v>
      </c>
      <c r="C967" s="2" t="s">
        <v>18</v>
      </c>
      <c r="D967" s="5">
        <v>41.210234999999997</v>
      </c>
      <c r="E967" s="5">
        <v>36.974305399999999</v>
      </c>
      <c r="F967" s="2" t="s">
        <v>3495</v>
      </c>
      <c r="G967" s="2" t="s">
        <v>221</v>
      </c>
      <c r="H967" s="2" t="s">
        <v>222</v>
      </c>
      <c r="I967" s="2" t="s">
        <v>222</v>
      </c>
      <c r="J967" s="2" t="s">
        <v>3496</v>
      </c>
      <c r="K967" s="2" t="s">
        <v>22</v>
      </c>
      <c r="L967" s="2" t="s">
        <v>328</v>
      </c>
      <c r="M967" s="3">
        <v>0</v>
      </c>
      <c r="N967" s="3">
        <v>1</v>
      </c>
      <c r="O967" s="9" t="s">
        <v>24</v>
      </c>
      <c r="P967" s="3">
        <v>-967.1</v>
      </c>
    </row>
    <row r="968" spans="1:16" x14ac:dyDescent="0.3">
      <c r="A968" s="2" t="s">
        <v>3497</v>
      </c>
      <c r="B968" s="2" t="s">
        <v>3498</v>
      </c>
      <c r="C968" s="2" t="s">
        <v>18</v>
      </c>
      <c r="D968" s="5">
        <v>41.125769599999998</v>
      </c>
      <c r="E968" s="5">
        <v>37.287564199999998</v>
      </c>
      <c r="F968" s="2" t="s">
        <v>3499</v>
      </c>
      <c r="G968" s="2" t="s">
        <v>221</v>
      </c>
      <c r="H968" s="2" t="s">
        <v>222</v>
      </c>
      <c r="I968" s="2" t="s">
        <v>222</v>
      </c>
      <c r="J968" s="2" t="s">
        <v>3500</v>
      </c>
      <c r="K968" s="2" t="s">
        <v>63</v>
      </c>
      <c r="L968" s="2" t="s">
        <v>89</v>
      </c>
      <c r="M968" s="3">
        <v>1</v>
      </c>
      <c r="N968" s="3">
        <v>1</v>
      </c>
      <c r="O968" s="9" t="s">
        <v>54</v>
      </c>
      <c r="P968" s="3">
        <v>0</v>
      </c>
    </row>
    <row r="969" spans="1:16" x14ac:dyDescent="0.3">
      <c r="A969" s="2" t="s">
        <v>3501</v>
      </c>
      <c r="B969" s="2" t="s">
        <v>3502</v>
      </c>
      <c r="C969" s="2" t="s">
        <v>18</v>
      </c>
      <c r="D969" s="5">
        <v>41.270079199999998</v>
      </c>
      <c r="E969" s="5">
        <v>36.367305600000002</v>
      </c>
      <c r="F969" s="2" t="s">
        <v>3503</v>
      </c>
      <c r="G969" s="2" t="s">
        <v>28</v>
      </c>
      <c r="H969" s="2" t="s">
        <v>29</v>
      </c>
      <c r="I969" s="2" t="s">
        <v>30</v>
      </c>
      <c r="J969" s="2" t="s">
        <v>3504</v>
      </c>
      <c r="K969" s="2" t="s">
        <v>22</v>
      </c>
      <c r="L969" s="2" t="s">
        <v>99</v>
      </c>
      <c r="M969" s="3">
        <v>1</v>
      </c>
      <c r="N969" s="3">
        <v>1</v>
      </c>
      <c r="O969" s="9" t="s">
        <v>54</v>
      </c>
      <c r="P969" s="3">
        <v>0</v>
      </c>
    </row>
    <row r="970" spans="1:16" x14ac:dyDescent="0.3">
      <c r="A970" s="2" t="s">
        <v>3505</v>
      </c>
      <c r="B970" s="2" t="s">
        <v>3506</v>
      </c>
      <c r="C970" s="2" t="s">
        <v>18</v>
      </c>
      <c r="D970" s="5">
        <v>41.211142600000002</v>
      </c>
      <c r="E970" s="5">
        <v>36.974967100000001</v>
      </c>
      <c r="F970" s="2" t="s">
        <v>3507</v>
      </c>
      <c r="G970" s="2" t="s">
        <v>221</v>
      </c>
      <c r="H970" s="2" t="s">
        <v>222</v>
      </c>
      <c r="I970" s="2" t="s">
        <v>222</v>
      </c>
      <c r="J970" s="2" t="s">
        <v>3508</v>
      </c>
      <c r="K970" s="2" t="s">
        <v>22</v>
      </c>
      <c r="L970" s="2" t="s">
        <v>328</v>
      </c>
      <c r="M970" s="3">
        <v>1</v>
      </c>
      <c r="N970" s="3">
        <v>1</v>
      </c>
      <c r="O970" s="9" t="s">
        <v>54</v>
      </c>
      <c r="P970" s="3">
        <v>536.92999999999995</v>
      </c>
    </row>
    <row r="971" spans="1:16" x14ac:dyDescent="0.3">
      <c r="A971" s="2" t="s">
        <v>3509</v>
      </c>
      <c r="B971" s="2" t="s">
        <v>3510</v>
      </c>
      <c r="C971" s="2" t="s">
        <v>18</v>
      </c>
      <c r="D971" s="5">
        <v>41.071766500000003</v>
      </c>
      <c r="E971" s="5">
        <v>36.563283900000002</v>
      </c>
      <c r="F971" s="2" t="s">
        <v>3511</v>
      </c>
      <c r="G971" s="2" t="s">
        <v>28</v>
      </c>
      <c r="H971" s="2" t="s">
        <v>29</v>
      </c>
      <c r="I971" s="2" t="s">
        <v>30</v>
      </c>
      <c r="J971" s="2" t="s">
        <v>3512</v>
      </c>
      <c r="K971" s="2" t="s">
        <v>22</v>
      </c>
      <c r="L971" s="2" t="s">
        <v>44</v>
      </c>
      <c r="M971" s="3">
        <v>2</v>
      </c>
      <c r="N971" s="3">
        <v>1</v>
      </c>
      <c r="O971" s="9" t="s">
        <v>24</v>
      </c>
      <c r="P971" s="3">
        <v>-531.15</v>
      </c>
    </row>
    <row r="972" spans="1:16" x14ac:dyDescent="0.3">
      <c r="A972" s="2" t="s">
        <v>3513</v>
      </c>
      <c r="B972" s="2" t="s">
        <v>3514</v>
      </c>
      <c r="C972" s="2" t="s">
        <v>18</v>
      </c>
      <c r="D972" s="5">
        <v>41.319145499999998</v>
      </c>
      <c r="E972" s="5">
        <v>36.315381199999997</v>
      </c>
      <c r="F972" s="2" t="s">
        <v>179</v>
      </c>
      <c r="G972" s="2" t="s">
        <v>221</v>
      </c>
      <c r="H972" s="2" t="s">
        <v>222</v>
      </c>
      <c r="I972" s="2" t="s">
        <v>222</v>
      </c>
      <c r="J972" s="2" t="s">
        <v>3515</v>
      </c>
      <c r="K972" s="2" t="s">
        <v>22</v>
      </c>
      <c r="L972" s="2" t="s">
        <v>32</v>
      </c>
      <c r="M972" s="3">
        <v>0</v>
      </c>
      <c r="N972" s="3">
        <v>1</v>
      </c>
      <c r="O972" s="9" t="s">
        <v>24</v>
      </c>
      <c r="P972" s="3">
        <v>-0.26</v>
      </c>
    </row>
    <row r="973" spans="1:16" x14ac:dyDescent="0.3">
      <c r="A973" s="2" t="s">
        <v>3516</v>
      </c>
      <c r="B973" s="2" t="s">
        <v>3517</v>
      </c>
      <c r="C973" s="2" t="s">
        <v>18</v>
      </c>
      <c r="D973" s="5">
        <v>41.115587499999997</v>
      </c>
      <c r="E973" s="5">
        <v>37.315544799999998</v>
      </c>
      <c r="F973" s="2" t="s">
        <v>3518</v>
      </c>
      <c r="G973" s="2" t="s">
        <v>221</v>
      </c>
      <c r="H973" s="2" t="s">
        <v>222</v>
      </c>
      <c r="I973" s="2" t="s">
        <v>222</v>
      </c>
      <c r="J973" s="2" t="s">
        <v>3519</v>
      </c>
      <c r="K973" s="2" t="s">
        <v>63</v>
      </c>
      <c r="L973" s="2" t="s">
        <v>89</v>
      </c>
      <c r="M973" s="3">
        <v>1</v>
      </c>
      <c r="N973" s="3">
        <v>1</v>
      </c>
      <c r="O973" s="9" t="s">
        <v>54</v>
      </c>
      <c r="P973" s="3">
        <v>0</v>
      </c>
    </row>
    <row r="974" spans="1:16" x14ac:dyDescent="0.3">
      <c r="A974" s="2" t="s">
        <v>3520</v>
      </c>
      <c r="B974" s="2" t="s">
        <v>3521</v>
      </c>
      <c r="C974" s="2" t="s">
        <v>18</v>
      </c>
      <c r="D974" s="5">
        <v>41.212536100000001</v>
      </c>
      <c r="E974" s="5">
        <v>36.943489599999999</v>
      </c>
      <c r="F974" s="2" t="s">
        <v>3522</v>
      </c>
      <c r="G974" s="2" t="s">
        <v>221</v>
      </c>
      <c r="H974" s="2" t="s">
        <v>222</v>
      </c>
      <c r="I974" s="2" t="s">
        <v>222</v>
      </c>
      <c r="J974" s="2" t="s">
        <v>3523</v>
      </c>
      <c r="K974" s="2" t="s">
        <v>22</v>
      </c>
      <c r="L974" s="2" t="s">
        <v>328</v>
      </c>
      <c r="M974" s="3">
        <v>2</v>
      </c>
      <c r="N974" s="3">
        <v>1</v>
      </c>
      <c r="O974" s="9" t="s">
        <v>54</v>
      </c>
      <c r="P974" s="3">
        <v>0</v>
      </c>
    </row>
    <row r="975" spans="1:16" x14ac:dyDescent="0.3">
      <c r="A975" s="2" t="s">
        <v>3524</v>
      </c>
      <c r="B975" s="2" t="s">
        <v>3525</v>
      </c>
      <c r="C975" s="2" t="s">
        <v>18</v>
      </c>
      <c r="D975" s="5">
        <v>41.334092400000003</v>
      </c>
      <c r="E975" s="5">
        <v>36.2590802</v>
      </c>
      <c r="F975" s="2" t="s">
        <v>54</v>
      </c>
      <c r="G975" s="2" t="s">
        <v>20</v>
      </c>
      <c r="H975" s="2" t="s">
        <v>20</v>
      </c>
      <c r="I975" s="2" t="s">
        <v>1369</v>
      </c>
      <c r="J975" s="2" t="s">
        <v>3526</v>
      </c>
      <c r="K975" s="2" t="s">
        <v>22</v>
      </c>
      <c r="L975" s="2" t="s">
        <v>23</v>
      </c>
      <c r="M975" s="3">
        <v>1</v>
      </c>
      <c r="N975" s="3">
        <v>1</v>
      </c>
      <c r="O975" s="9" t="s">
        <v>24</v>
      </c>
      <c r="P975" s="3">
        <v>0</v>
      </c>
    </row>
    <row r="976" spans="1:16" x14ac:dyDescent="0.3">
      <c r="A976" s="2" t="s">
        <v>3527</v>
      </c>
      <c r="B976" s="2" t="s">
        <v>3528</v>
      </c>
      <c r="C976" s="2" t="s">
        <v>18</v>
      </c>
      <c r="D976" s="5">
        <v>41.324396700000001</v>
      </c>
      <c r="E976" s="5">
        <v>36.616900299999998</v>
      </c>
      <c r="F976" s="2" t="s">
        <v>3529</v>
      </c>
      <c r="G976" s="2" t="s">
        <v>28</v>
      </c>
      <c r="H976" s="2" t="s">
        <v>29</v>
      </c>
      <c r="I976" s="2" t="s">
        <v>30</v>
      </c>
      <c r="J976" s="2" t="s">
        <v>3530</v>
      </c>
      <c r="K976" s="2" t="s">
        <v>22</v>
      </c>
      <c r="L976" s="2" t="s">
        <v>44</v>
      </c>
      <c r="M976" s="3">
        <v>3</v>
      </c>
      <c r="N976" s="3">
        <v>1</v>
      </c>
      <c r="O976" s="9" t="s">
        <v>24</v>
      </c>
      <c r="P976" s="3">
        <v>-502.94</v>
      </c>
    </row>
    <row r="977" spans="1:16" x14ac:dyDescent="0.3">
      <c r="A977" s="2" t="s">
        <v>3531</v>
      </c>
      <c r="B977" s="2" t="s">
        <v>3532</v>
      </c>
      <c r="C977" s="2" t="s">
        <v>18</v>
      </c>
      <c r="D977" s="5">
        <v>41.081023299999998</v>
      </c>
      <c r="E977" s="5">
        <v>36.829388299999998</v>
      </c>
      <c r="F977" s="2" t="s">
        <v>3533</v>
      </c>
      <c r="G977" s="2" t="s">
        <v>28</v>
      </c>
      <c r="H977" s="2" t="s">
        <v>29</v>
      </c>
      <c r="I977" s="2" t="s">
        <v>30</v>
      </c>
      <c r="J977" s="2" t="s">
        <v>3534</v>
      </c>
      <c r="K977" s="2" t="s">
        <v>22</v>
      </c>
      <c r="L977" s="2" t="s">
        <v>476</v>
      </c>
      <c r="M977" s="3">
        <v>1</v>
      </c>
      <c r="N977" s="3">
        <v>1</v>
      </c>
      <c r="O977" s="9" t="s">
        <v>54</v>
      </c>
      <c r="P977" s="3">
        <v>-1.23</v>
      </c>
    </row>
    <row r="978" spans="1:16" x14ac:dyDescent="0.3">
      <c r="A978" s="2" t="s">
        <v>3535</v>
      </c>
      <c r="B978" s="2" t="s">
        <v>3536</v>
      </c>
      <c r="C978" s="2" t="s">
        <v>18</v>
      </c>
      <c r="D978" s="5">
        <v>40.990860699999999</v>
      </c>
      <c r="E978" s="5">
        <v>36.631949400000003</v>
      </c>
      <c r="F978" s="2" t="s">
        <v>3537</v>
      </c>
      <c r="G978" s="2" t="s">
        <v>28</v>
      </c>
      <c r="H978" s="2" t="s">
        <v>29</v>
      </c>
      <c r="I978" s="2" t="s">
        <v>30</v>
      </c>
      <c r="J978" s="2" t="s">
        <v>3538</v>
      </c>
      <c r="K978" s="2" t="s">
        <v>22</v>
      </c>
      <c r="L978" s="2" t="s">
        <v>145</v>
      </c>
      <c r="M978" s="3">
        <v>1</v>
      </c>
      <c r="N978" s="3">
        <v>1</v>
      </c>
      <c r="O978" s="9" t="s">
        <v>24</v>
      </c>
      <c r="P978" s="3">
        <v>-2.34</v>
      </c>
    </row>
    <row r="979" spans="1:16" x14ac:dyDescent="0.3">
      <c r="A979" s="2" t="s">
        <v>3539</v>
      </c>
      <c r="B979" s="2" t="s">
        <v>3540</v>
      </c>
      <c r="C979" s="2" t="s">
        <v>18</v>
      </c>
      <c r="D979" s="5">
        <v>42.001233300000003</v>
      </c>
      <c r="E979" s="5">
        <v>35.109981400000002</v>
      </c>
      <c r="F979" s="2" t="s">
        <v>3541</v>
      </c>
      <c r="G979" s="2" t="s">
        <v>221</v>
      </c>
      <c r="H979" s="2" t="s">
        <v>1049</v>
      </c>
      <c r="I979" s="2" t="s">
        <v>1049</v>
      </c>
      <c r="J979" s="2" t="s">
        <v>3542</v>
      </c>
      <c r="K979" s="2" t="s">
        <v>154</v>
      </c>
      <c r="L979" s="2" t="s">
        <v>155</v>
      </c>
      <c r="M979" s="3">
        <v>0</v>
      </c>
      <c r="N979" s="3">
        <v>1</v>
      </c>
      <c r="O979" s="9" t="s">
        <v>54</v>
      </c>
      <c r="P979" s="3">
        <v>0</v>
      </c>
    </row>
    <row r="980" spans="1:16" x14ac:dyDescent="0.3">
      <c r="A980" s="2" t="s">
        <v>3543</v>
      </c>
      <c r="B980" s="2" t="s">
        <v>3544</v>
      </c>
      <c r="C980" s="2" t="s">
        <v>18</v>
      </c>
      <c r="D980" s="5">
        <v>41.2872147</v>
      </c>
      <c r="E980" s="5">
        <v>36.338518499999999</v>
      </c>
      <c r="F980" s="2" t="s">
        <v>3545</v>
      </c>
      <c r="G980" s="2" t="s">
        <v>221</v>
      </c>
      <c r="H980" s="2" t="s">
        <v>222</v>
      </c>
      <c r="I980" s="2" t="s">
        <v>222</v>
      </c>
      <c r="J980" s="2" t="s">
        <v>3546</v>
      </c>
      <c r="K980" s="2" t="s">
        <v>22</v>
      </c>
      <c r="L980" s="2" t="s">
        <v>32</v>
      </c>
      <c r="M980" s="3">
        <v>1</v>
      </c>
      <c r="N980" s="3">
        <v>1</v>
      </c>
      <c r="O980" s="9" t="s">
        <v>24</v>
      </c>
      <c r="P980" s="3">
        <v>403.92</v>
      </c>
    </row>
    <row r="981" spans="1:16" x14ac:dyDescent="0.3">
      <c r="A981" s="2" t="s">
        <v>3547</v>
      </c>
      <c r="B981" s="2" t="s">
        <v>3548</v>
      </c>
      <c r="C981" s="2" t="s">
        <v>18</v>
      </c>
      <c r="D981" s="5">
        <v>41.468069100000001</v>
      </c>
      <c r="E981" s="5">
        <v>35.518271200000001</v>
      </c>
      <c r="F981" s="2" t="s">
        <v>3549</v>
      </c>
      <c r="G981" s="2" t="s">
        <v>28</v>
      </c>
      <c r="H981" s="2" t="s">
        <v>29</v>
      </c>
      <c r="I981" s="2" t="s">
        <v>30</v>
      </c>
      <c r="J981" s="2" t="s">
        <v>3550</v>
      </c>
      <c r="K981" s="2" t="s">
        <v>22</v>
      </c>
      <c r="L981" s="2" t="s">
        <v>265</v>
      </c>
      <c r="M981" s="3">
        <v>1</v>
      </c>
      <c r="N981" s="3">
        <v>1</v>
      </c>
      <c r="O981" s="9" t="s">
        <v>24</v>
      </c>
      <c r="P981" s="3">
        <v>0</v>
      </c>
    </row>
    <row r="982" spans="1:16" x14ac:dyDescent="0.3">
      <c r="A982" s="2" t="s">
        <v>3551</v>
      </c>
      <c r="B982" s="2" t="s">
        <v>3552</v>
      </c>
      <c r="C982" s="2" t="s">
        <v>18</v>
      </c>
      <c r="D982" s="5">
        <v>41.8074698</v>
      </c>
      <c r="E982" s="5">
        <v>35.186682699999999</v>
      </c>
      <c r="F982" s="2" t="s">
        <v>3553</v>
      </c>
      <c r="G982" s="2" t="s">
        <v>28</v>
      </c>
      <c r="H982" s="2" t="s">
        <v>29</v>
      </c>
      <c r="I982" s="2" t="s">
        <v>30</v>
      </c>
      <c r="J982" s="2" t="s">
        <v>3554</v>
      </c>
      <c r="K982" s="2" t="s">
        <v>154</v>
      </c>
      <c r="L982" s="2" t="s">
        <v>302</v>
      </c>
      <c r="M982" s="3">
        <v>1</v>
      </c>
      <c r="N982" s="3">
        <v>1</v>
      </c>
      <c r="O982" s="9" t="s">
        <v>24</v>
      </c>
      <c r="P982" s="3">
        <v>0</v>
      </c>
    </row>
    <row r="983" spans="1:16" x14ac:dyDescent="0.3">
      <c r="A983" s="2" t="s">
        <v>3555</v>
      </c>
      <c r="B983" s="2" t="s">
        <v>3556</v>
      </c>
      <c r="C983" s="2" t="s">
        <v>18</v>
      </c>
      <c r="D983" s="5">
        <v>41.265983900000002</v>
      </c>
      <c r="E983" s="5">
        <v>36.336278399999998</v>
      </c>
      <c r="F983" s="2" t="s">
        <v>3557</v>
      </c>
      <c r="G983" s="2" t="s">
        <v>28</v>
      </c>
      <c r="H983" s="2" t="s">
        <v>29</v>
      </c>
      <c r="I983" s="2" t="s">
        <v>30</v>
      </c>
      <c r="J983" s="2" t="s">
        <v>3558</v>
      </c>
      <c r="K983" s="2" t="s">
        <v>22</v>
      </c>
      <c r="L983" s="2" t="s">
        <v>32</v>
      </c>
      <c r="M983" s="3">
        <v>1</v>
      </c>
      <c r="N983" s="3">
        <v>1</v>
      </c>
      <c r="O983" s="9" t="s">
        <v>24</v>
      </c>
      <c r="P983" s="3">
        <v>0</v>
      </c>
    </row>
    <row r="984" spans="1:16" x14ac:dyDescent="0.3">
      <c r="A984" s="2" t="s">
        <v>3559</v>
      </c>
      <c r="B984" s="2" t="s">
        <v>3560</v>
      </c>
      <c r="C984" s="2" t="s">
        <v>18</v>
      </c>
      <c r="D984" s="5">
        <v>41.283925600000003</v>
      </c>
      <c r="E984" s="5">
        <v>36.3340763</v>
      </c>
      <c r="F984" s="2" t="s">
        <v>3306</v>
      </c>
      <c r="G984" s="2" t="s">
        <v>221</v>
      </c>
      <c r="H984" s="2" t="s">
        <v>222</v>
      </c>
      <c r="I984" s="2" t="s">
        <v>222</v>
      </c>
      <c r="J984" s="2" t="s">
        <v>3320</v>
      </c>
      <c r="K984" s="2" t="s">
        <v>22</v>
      </c>
      <c r="L984" s="2" t="s">
        <v>32</v>
      </c>
      <c r="M984" s="3">
        <v>1</v>
      </c>
      <c r="N984" s="3">
        <v>1</v>
      </c>
      <c r="O984" s="9" t="s">
        <v>24</v>
      </c>
      <c r="P984" s="3">
        <v>0</v>
      </c>
    </row>
    <row r="985" spans="1:16" x14ac:dyDescent="0.3">
      <c r="A985" s="2" t="s">
        <v>3561</v>
      </c>
      <c r="B985" s="2" t="s">
        <v>3562</v>
      </c>
      <c r="C985" s="2" t="s">
        <v>18</v>
      </c>
      <c r="D985" s="5">
        <v>41.283920000000002</v>
      </c>
      <c r="E985" s="5">
        <v>36.334739999999996</v>
      </c>
      <c r="F985" s="2" t="s">
        <v>3306</v>
      </c>
      <c r="G985" s="2" t="s">
        <v>221</v>
      </c>
      <c r="H985" s="2" t="s">
        <v>222</v>
      </c>
      <c r="I985" s="2" t="s">
        <v>222</v>
      </c>
      <c r="J985" s="2" t="s">
        <v>3320</v>
      </c>
      <c r="K985" s="2" t="s">
        <v>22</v>
      </c>
      <c r="L985" s="2" t="s">
        <v>32</v>
      </c>
      <c r="M985" s="3">
        <v>4</v>
      </c>
      <c r="N985" s="3">
        <v>1</v>
      </c>
      <c r="O985" s="9" t="s">
        <v>24</v>
      </c>
      <c r="P985" s="3">
        <v>0</v>
      </c>
    </row>
    <row r="986" spans="1:16" x14ac:dyDescent="0.3">
      <c r="A986" s="2" t="s">
        <v>3563</v>
      </c>
      <c r="B986" s="2" t="s">
        <v>3564</v>
      </c>
      <c r="C986" s="2" t="s">
        <v>18</v>
      </c>
      <c r="D986" s="5">
        <v>41.305254300000001</v>
      </c>
      <c r="E986" s="5">
        <v>36.313547200000002</v>
      </c>
      <c r="F986" s="2" t="s">
        <v>3565</v>
      </c>
      <c r="G986" s="2" t="s">
        <v>28</v>
      </c>
      <c r="H986" s="2" t="s">
        <v>29</v>
      </c>
      <c r="I986" s="2" t="s">
        <v>30</v>
      </c>
      <c r="J986" s="2" t="s">
        <v>3566</v>
      </c>
      <c r="K986" s="2" t="s">
        <v>22</v>
      </c>
      <c r="L986" s="2" t="s">
        <v>32</v>
      </c>
      <c r="M986" s="3">
        <v>0</v>
      </c>
      <c r="N986" s="3">
        <v>1</v>
      </c>
      <c r="O986" s="9" t="s">
        <v>24</v>
      </c>
      <c r="P986" s="3">
        <v>0</v>
      </c>
    </row>
    <row r="987" spans="1:16" x14ac:dyDescent="0.3">
      <c r="A987" s="2" t="s">
        <v>3567</v>
      </c>
      <c r="B987" s="2" t="s">
        <v>3568</v>
      </c>
      <c r="C987" s="2" t="s">
        <v>18</v>
      </c>
      <c r="D987" s="5">
        <v>41.264564999999997</v>
      </c>
      <c r="E987" s="5">
        <v>36.361384600000001</v>
      </c>
      <c r="F987" s="2" t="s">
        <v>3569</v>
      </c>
      <c r="G987" s="2" t="s">
        <v>28</v>
      </c>
      <c r="H987" s="2" t="s">
        <v>29</v>
      </c>
      <c r="I987" s="2" t="s">
        <v>30</v>
      </c>
      <c r="J987" s="2" t="s">
        <v>3570</v>
      </c>
      <c r="K987" s="2" t="s">
        <v>22</v>
      </c>
      <c r="L987" s="2" t="s">
        <v>99</v>
      </c>
      <c r="M987" s="3">
        <v>0</v>
      </c>
      <c r="N987" s="3">
        <v>1</v>
      </c>
      <c r="O987" s="9" t="s">
        <v>54</v>
      </c>
      <c r="P987" s="3">
        <v>0</v>
      </c>
    </row>
    <row r="988" spans="1:16" x14ac:dyDescent="0.3">
      <c r="A988" s="2" t="s">
        <v>3571</v>
      </c>
      <c r="B988" s="2" t="s">
        <v>3572</v>
      </c>
      <c r="C988" s="2" t="s">
        <v>18</v>
      </c>
      <c r="D988" s="5">
        <v>41.285739599999999</v>
      </c>
      <c r="E988" s="5">
        <v>36.345530500000002</v>
      </c>
      <c r="F988" s="2" t="s">
        <v>3373</v>
      </c>
      <c r="G988" s="2" t="s">
        <v>221</v>
      </c>
      <c r="H988" s="2" t="s">
        <v>222</v>
      </c>
      <c r="I988" s="2" t="s">
        <v>222</v>
      </c>
      <c r="J988" s="2" t="s">
        <v>3320</v>
      </c>
      <c r="K988" s="2" t="s">
        <v>22</v>
      </c>
      <c r="L988" s="2" t="s">
        <v>32</v>
      </c>
      <c r="M988" s="3">
        <v>3</v>
      </c>
      <c r="N988" s="3">
        <v>1</v>
      </c>
      <c r="O988" s="9" t="s">
        <v>24</v>
      </c>
      <c r="P988" s="3">
        <v>0</v>
      </c>
    </row>
    <row r="989" spans="1:16" x14ac:dyDescent="0.3">
      <c r="A989" s="2" t="s">
        <v>3573</v>
      </c>
      <c r="B989" s="2" t="s">
        <v>3574</v>
      </c>
      <c r="C989" s="2" t="s">
        <v>18</v>
      </c>
      <c r="D989" s="5">
        <v>41.442889999999998</v>
      </c>
      <c r="E989" s="5">
        <v>35.851320299999998</v>
      </c>
      <c r="F989" s="2" t="s">
        <v>3575</v>
      </c>
      <c r="G989" s="2" t="s">
        <v>28</v>
      </c>
      <c r="H989" s="2" t="s">
        <v>29</v>
      </c>
      <c r="I989" s="2" t="s">
        <v>30</v>
      </c>
      <c r="J989" s="2" t="s">
        <v>3576</v>
      </c>
      <c r="K989" s="2" t="s">
        <v>22</v>
      </c>
      <c r="L989" s="2" t="s">
        <v>53</v>
      </c>
      <c r="M989" s="3">
        <v>2</v>
      </c>
      <c r="N989" s="3">
        <v>1</v>
      </c>
      <c r="O989" s="9" t="s">
        <v>24</v>
      </c>
      <c r="P989" s="3">
        <v>-5518.91</v>
      </c>
    </row>
    <row r="990" spans="1:16" x14ac:dyDescent="0.3">
      <c r="A990" s="2" t="s">
        <v>3577</v>
      </c>
      <c r="B990" s="2" t="s">
        <v>3578</v>
      </c>
      <c r="C990" s="2" t="s">
        <v>18</v>
      </c>
      <c r="D990" s="5">
        <v>41.195198900000001</v>
      </c>
      <c r="E990" s="5">
        <v>36.729722199999998</v>
      </c>
      <c r="F990" s="2" t="s">
        <v>3579</v>
      </c>
      <c r="G990" s="2" t="s">
        <v>28</v>
      </c>
      <c r="H990" s="2" t="s">
        <v>29</v>
      </c>
      <c r="I990" s="2" t="s">
        <v>30</v>
      </c>
      <c r="J990" s="2" t="s">
        <v>3580</v>
      </c>
      <c r="K990" s="2" t="s">
        <v>22</v>
      </c>
      <c r="L990" s="2" t="s">
        <v>44</v>
      </c>
      <c r="M990" s="3">
        <v>1</v>
      </c>
      <c r="N990" s="3">
        <v>1</v>
      </c>
      <c r="O990" s="9" t="s">
        <v>54</v>
      </c>
      <c r="P990" s="3">
        <v>-0.84</v>
      </c>
    </row>
    <row r="991" spans="1:16" x14ac:dyDescent="0.3">
      <c r="A991" s="2" t="s">
        <v>3581</v>
      </c>
      <c r="B991" s="2" t="s">
        <v>2284</v>
      </c>
      <c r="C991" s="2" t="s">
        <v>18</v>
      </c>
      <c r="D991" s="5">
        <v>41.181106700000001</v>
      </c>
      <c r="E991" s="5">
        <v>36.7140317</v>
      </c>
      <c r="F991" s="2" t="s">
        <v>3582</v>
      </c>
      <c r="G991" s="2" t="s">
        <v>221</v>
      </c>
      <c r="H991" s="2" t="s">
        <v>222</v>
      </c>
      <c r="I991" s="2" t="s">
        <v>222</v>
      </c>
      <c r="J991" s="2" t="s">
        <v>3583</v>
      </c>
      <c r="K991" s="2" t="s">
        <v>22</v>
      </c>
      <c r="L991" s="2" t="s">
        <v>44</v>
      </c>
      <c r="M991" s="3">
        <v>0</v>
      </c>
      <c r="N991" s="3">
        <v>1</v>
      </c>
      <c r="O991" s="9" t="s">
        <v>54</v>
      </c>
      <c r="P991" s="3">
        <v>-659.98</v>
      </c>
    </row>
    <row r="992" spans="1:16" x14ac:dyDescent="0.3">
      <c r="A992" s="2" t="s">
        <v>3584</v>
      </c>
      <c r="B992" s="2" t="s">
        <v>3585</v>
      </c>
      <c r="C992" s="2" t="s">
        <v>18</v>
      </c>
      <c r="D992" s="5">
        <v>41.1442573</v>
      </c>
      <c r="E992" s="5">
        <v>37.1415486</v>
      </c>
      <c r="F992" s="2" t="s">
        <v>54</v>
      </c>
      <c r="G992" s="2" t="s">
        <v>221</v>
      </c>
      <c r="H992" s="2" t="s">
        <v>926</v>
      </c>
      <c r="I992" s="2" t="s">
        <v>926</v>
      </c>
      <c r="J992" s="2" t="s">
        <v>3586</v>
      </c>
      <c r="K992" s="2" t="s">
        <v>22</v>
      </c>
      <c r="L992" s="2" t="s">
        <v>328</v>
      </c>
      <c r="M992" s="3">
        <v>1</v>
      </c>
      <c r="N992" s="3">
        <v>1</v>
      </c>
      <c r="O992" s="9" t="s">
        <v>24</v>
      </c>
      <c r="P992" s="3">
        <v>0</v>
      </c>
    </row>
    <row r="993" spans="1:16" x14ac:dyDescent="0.3">
      <c r="A993" s="2" t="s">
        <v>3587</v>
      </c>
      <c r="B993" s="2" t="s">
        <v>3588</v>
      </c>
      <c r="C993" s="2" t="s">
        <v>18</v>
      </c>
      <c r="D993" s="5">
        <v>41.234792200000001</v>
      </c>
      <c r="E993" s="5">
        <v>36.407215899999997</v>
      </c>
      <c r="F993" s="2" t="s">
        <v>3589</v>
      </c>
      <c r="G993" s="2" t="s">
        <v>28</v>
      </c>
      <c r="H993" s="2" t="s">
        <v>29</v>
      </c>
      <c r="I993" s="2" t="s">
        <v>30</v>
      </c>
      <c r="J993" s="2" t="s">
        <v>3590</v>
      </c>
      <c r="K993" s="2" t="s">
        <v>22</v>
      </c>
      <c r="L993" s="2" t="s">
        <v>32</v>
      </c>
      <c r="M993" s="3">
        <v>0</v>
      </c>
      <c r="N993" s="3">
        <v>1</v>
      </c>
      <c r="O993" s="9" t="s">
        <v>24</v>
      </c>
      <c r="P993" s="3">
        <v>0</v>
      </c>
    </row>
    <row r="994" spans="1:16" x14ac:dyDescent="0.3">
      <c r="A994" s="2" t="s">
        <v>3591</v>
      </c>
      <c r="B994" s="2" t="s">
        <v>3564</v>
      </c>
      <c r="C994" s="2" t="s">
        <v>18</v>
      </c>
      <c r="D994" s="5">
        <v>41.305745600000002</v>
      </c>
      <c r="E994" s="5">
        <v>36.313693700000002</v>
      </c>
      <c r="F994" s="2" t="s">
        <v>3565</v>
      </c>
      <c r="G994" s="2" t="s">
        <v>221</v>
      </c>
      <c r="H994" s="2" t="s">
        <v>222</v>
      </c>
      <c r="I994" s="2" t="s">
        <v>222</v>
      </c>
      <c r="J994" s="2" t="s">
        <v>3566</v>
      </c>
      <c r="K994" s="2" t="s">
        <v>22</v>
      </c>
      <c r="L994" s="2" t="s">
        <v>32</v>
      </c>
      <c r="M994" s="3">
        <v>0</v>
      </c>
      <c r="N994" s="3">
        <v>1</v>
      </c>
      <c r="O994" s="9" t="s">
        <v>24</v>
      </c>
      <c r="P994" s="3">
        <v>0</v>
      </c>
    </row>
    <row r="995" spans="1:16" x14ac:dyDescent="0.3">
      <c r="A995" s="2" t="s">
        <v>3592</v>
      </c>
      <c r="B995" s="2" t="s">
        <v>3593</v>
      </c>
      <c r="C995" s="2" t="s">
        <v>18</v>
      </c>
      <c r="D995" s="5">
        <v>42.012099999999997</v>
      </c>
      <c r="E995" s="5">
        <v>35.106180000000002</v>
      </c>
      <c r="F995" s="2" t="s">
        <v>54</v>
      </c>
      <c r="G995" s="2" t="s">
        <v>221</v>
      </c>
      <c r="H995" s="2" t="s">
        <v>1688</v>
      </c>
      <c r="I995" s="2" t="s">
        <v>1688</v>
      </c>
      <c r="J995" s="2" t="s">
        <v>3594</v>
      </c>
      <c r="K995" s="2" t="s">
        <v>154</v>
      </c>
      <c r="L995" s="2" t="s">
        <v>155</v>
      </c>
      <c r="M995" s="3">
        <v>1</v>
      </c>
      <c r="N995" s="3">
        <v>1</v>
      </c>
      <c r="O995" s="9" t="s">
        <v>24</v>
      </c>
      <c r="P995" s="3">
        <v>0</v>
      </c>
    </row>
    <row r="996" spans="1:16" x14ac:dyDescent="0.3">
      <c r="A996" s="2" t="s">
        <v>3595</v>
      </c>
      <c r="B996" s="2" t="s">
        <v>3596</v>
      </c>
      <c r="C996" s="2" t="s">
        <v>18</v>
      </c>
      <c r="D996" s="5">
        <v>41.632477000000002</v>
      </c>
      <c r="E996" s="5">
        <v>35.528202</v>
      </c>
      <c r="F996" s="2" t="s">
        <v>54</v>
      </c>
      <c r="G996" s="2" t="s">
        <v>20</v>
      </c>
      <c r="H996" s="2" t="s">
        <v>20</v>
      </c>
      <c r="I996" s="2" t="s">
        <v>1369</v>
      </c>
      <c r="J996" s="2" t="s">
        <v>3597</v>
      </c>
      <c r="K996" s="2" t="s">
        <v>22</v>
      </c>
      <c r="L996" s="2" t="s">
        <v>665</v>
      </c>
      <c r="M996" s="3">
        <v>1</v>
      </c>
      <c r="N996" s="3">
        <v>1</v>
      </c>
      <c r="O996" s="9" t="s">
        <v>24</v>
      </c>
      <c r="P996" s="3">
        <v>0</v>
      </c>
    </row>
    <row r="997" spans="1:16" x14ac:dyDescent="0.3">
      <c r="A997" s="2" t="s">
        <v>3598</v>
      </c>
      <c r="B997" s="2" t="s">
        <v>3599</v>
      </c>
      <c r="C997" s="2" t="s">
        <v>18</v>
      </c>
      <c r="D997" s="5">
        <v>41.143850399999998</v>
      </c>
      <c r="E997" s="5">
        <v>37.141725999999998</v>
      </c>
      <c r="F997" s="2" t="s">
        <v>54</v>
      </c>
      <c r="G997" s="2" t="s">
        <v>221</v>
      </c>
      <c r="H997" s="2" t="s">
        <v>926</v>
      </c>
      <c r="I997" s="2" t="s">
        <v>926</v>
      </c>
      <c r="J997" s="2" t="s">
        <v>3600</v>
      </c>
      <c r="K997" s="2" t="s">
        <v>63</v>
      </c>
      <c r="L997" s="2" t="s">
        <v>89</v>
      </c>
      <c r="M997" s="3">
        <v>0</v>
      </c>
      <c r="N997" s="3">
        <v>1</v>
      </c>
      <c r="O997" s="9" t="s">
        <v>24</v>
      </c>
      <c r="P997" s="3">
        <v>0</v>
      </c>
    </row>
    <row r="998" spans="1:16" x14ac:dyDescent="0.3">
      <c r="A998" s="2" t="s">
        <v>3601</v>
      </c>
      <c r="B998" s="2" t="s">
        <v>3602</v>
      </c>
      <c r="C998" s="2" t="s">
        <v>18</v>
      </c>
      <c r="D998" s="5">
        <v>42.022873300000001</v>
      </c>
      <c r="E998" s="5">
        <v>35.123760900000001</v>
      </c>
      <c r="F998" s="2" t="s">
        <v>3603</v>
      </c>
      <c r="G998" s="2" t="s">
        <v>28</v>
      </c>
      <c r="H998" s="2" t="s">
        <v>29</v>
      </c>
      <c r="I998" s="2" t="s">
        <v>30</v>
      </c>
      <c r="J998" s="2" t="s">
        <v>3604</v>
      </c>
      <c r="K998" s="2" t="s">
        <v>3605</v>
      </c>
      <c r="L998" s="2" t="s">
        <v>3606</v>
      </c>
      <c r="M998" s="3">
        <v>1</v>
      </c>
      <c r="N998" s="3">
        <v>1</v>
      </c>
      <c r="O998" s="9" t="s">
        <v>24</v>
      </c>
      <c r="P998" s="3">
        <v>0</v>
      </c>
    </row>
    <row r="999" spans="1:16" x14ac:dyDescent="0.3">
      <c r="A999" s="2" t="s">
        <v>3607</v>
      </c>
      <c r="B999" s="2" t="s">
        <v>3608</v>
      </c>
      <c r="C999" s="2" t="s">
        <v>18</v>
      </c>
      <c r="D999" s="5">
        <v>41.329959899999999</v>
      </c>
      <c r="E999" s="5">
        <v>36.284428300000002</v>
      </c>
      <c r="F999" s="2" t="s">
        <v>3609</v>
      </c>
      <c r="G999" s="2" t="s">
        <v>221</v>
      </c>
      <c r="H999" s="2" t="s">
        <v>222</v>
      </c>
      <c r="I999" s="2" t="s">
        <v>222</v>
      </c>
      <c r="J999" s="2" t="s">
        <v>3610</v>
      </c>
      <c r="K999" s="2" t="s">
        <v>22</v>
      </c>
      <c r="L999" s="2" t="s">
        <v>32</v>
      </c>
      <c r="M999" s="3">
        <v>1</v>
      </c>
      <c r="N999" s="3">
        <v>1</v>
      </c>
      <c r="O999" s="9" t="s">
        <v>24</v>
      </c>
      <c r="P999" s="3">
        <v>0</v>
      </c>
    </row>
    <row r="1000" spans="1:16" x14ac:dyDescent="0.3">
      <c r="A1000" s="2" t="s">
        <v>3611</v>
      </c>
      <c r="B1000" s="2" t="s">
        <v>3612</v>
      </c>
      <c r="C1000" s="2" t="s">
        <v>18</v>
      </c>
      <c r="D1000" s="5">
        <v>40.968790300000002</v>
      </c>
      <c r="E1000" s="5">
        <v>35.6648225</v>
      </c>
      <c r="F1000" s="2" t="s">
        <v>3613</v>
      </c>
      <c r="G1000" s="2" t="s">
        <v>28</v>
      </c>
      <c r="H1000" s="2" t="s">
        <v>29</v>
      </c>
      <c r="I1000" s="2" t="s">
        <v>30</v>
      </c>
      <c r="J1000" s="2" t="s">
        <v>3614</v>
      </c>
      <c r="K1000" s="2" t="s">
        <v>22</v>
      </c>
      <c r="L1000" s="2" t="s">
        <v>193</v>
      </c>
      <c r="M1000" s="3">
        <v>0</v>
      </c>
      <c r="N1000" s="3">
        <v>1</v>
      </c>
      <c r="O1000" s="9" t="s">
        <v>24</v>
      </c>
      <c r="P1000" s="3">
        <v>-0.73</v>
      </c>
    </row>
    <row r="1001" spans="1:16" x14ac:dyDescent="0.3">
      <c r="A1001" s="2" t="s">
        <v>3615</v>
      </c>
      <c r="B1001" s="2" t="s">
        <v>3616</v>
      </c>
      <c r="C1001" s="2" t="s">
        <v>18</v>
      </c>
      <c r="D1001" s="5">
        <v>0</v>
      </c>
      <c r="E1001" s="5">
        <v>0</v>
      </c>
      <c r="F1001" s="2" t="s">
        <v>54</v>
      </c>
      <c r="G1001" s="2" t="s">
        <v>221</v>
      </c>
      <c r="H1001" s="2" t="s">
        <v>926</v>
      </c>
      <c r="I1001" s="2" t="s">
        <v>926</v>
      </c>
      <c r="J1001" s="2" t="s">
        <v>3617</v>
      </c>
      <c r="K1001" s="2" t="s">
        <v>63</v>
      </c>
      <c r="L1001" s="2" t="s">
        <v>89</v>
      </c>
      <c r="M1001" s="3">
        <v>0</v>
      </c>
      <c r="N1001" s="3">
        <v>1</v>
      </c>
      <c r="O1001" s="9" t="s">
        <v>24</v>
      </c>
      <c r="P1001" s="3">
        <v>0</v>
      </c>
    </row>
    <row r="1002" spans="1:16" x14ac:dyDescent="0.3">
      <c r="A1002" s="2" t="s">
        <v>3618</v>
      </c>
      <c r="B1002" s="2" t="s">
        <v>3619</v>
      </c>
      <c r="C1002" s="2" t="s">
        <v>18</v>
      </c>
      <c r="D1002" s="5">
        <v>41.071261700000001</v>
      </c>
      <c r="E1002" s="5">
        <v>36.0287583</v>
      </c>
      <c r="F1002" s="2" t="s">
        <v>3620</v>
      </c>
      <c r="G1002" s="2" t="s">
        <v>221</v>
      </c>
      <c r="H1002" s="2" t="s">
        <v>1049</v>
      </c>
      <c r="I1002" s="2" t="s">
        <v>1049</v>
      </c>
      <c r="J1002" s="2" t="s">
        <v>3621</v>
      </c>
      <c r="K1002" s="2" t="s">
        <v>22</v>
      </c>
      <c r="L1002" s="2" t="s">
        <v>224</v>
      </c>
      <c r="M1002" s="3">
        <v>1</v>
      </c>
      <c r="N1002" s="3">
        <v>1</v>
      </c>
      <c r="O1002" s="9" t="s">
        <v>24</v>
      </c>
      <c r="P1002" s="3">
        <v>-0.49</v>
      </c>
    </row>
    <row r="1003" spans="1:16" x14ac:dyDescent="0.3">
      <c r="A1003" s="2" t="s">
        <v>3622</v>
      </c>
      <c r="B1003" s="2" t="s">
        <v>3623</v>
      </c>
      <c r="C1003" s="2" t="s">
        <v>18</v>
      </c>
      <c r="D1003" s="5">
        <v>40.9943594</v>
      </c>
      <c r="E1003" s="5">
        <v>35.737637399999997</v>
      </c>
      <c r="F1003" s="2" t="s">
        <v>3624</v>
      </c>
      <c r="G1003" s="2" t="s">
        <v>28</v>
      </c>
      <c r="H1003" s="2" t="s">
        <v>29</v>
      </c>
      <c r="I1003" s="2" t="s">
        <v>30</v>
      </c>
      <c r="J1003" s="2" t="s">
        <v>3625</v>
      </c>
      <c r="K1003" s="2" t="s">
        <v>22</v>
      </c>
      <c r="L1003" s="2" t="s">
        <v>193</v>
      </c>
      <c r="M1003" s="3">
        <v>1</v>
      </c>
      <c r="N1003" s="3">
        <v>1</v>
      </c>
      <c r="O1003" s="9" t="s">
        <v>24</v>
      </c>
      <c r="P1003" s="3">
        <v>-1.35</v>
      </c>
    </row>
    <row r="1004" spans="1:16" x14ac:dyDescent="0.3">
      <c r="A1004" s="2" t="s">
        <v>3626</v>
      </c>
      <c r="B1004" s="2" t="s">
        <v>3627</v>
      </c>
      <c r="C1004" s="2" t="s">
        <v>18</v>
      </c>
      <c r="D1004" s="5">
        <v>41.316947800000001</v>
      </c>
      <c r="E1004" s="5">
        <v>36.314950000000003</v>
      </c>
      <c r="F1004" s="2" t="s">
        <v>3306</v>
      </c>
      <c r="G1004" s="2" t="s">
        <v>221</v>
      </c>
      <c r="H1004" s="2" t="s">
        <v>222</v>
      </c>
      <c r="I1004" s="2" t="s">
        <v>222</v>
      </c>
      <c r="J1004" s="2" t="s">
        <v>3320</v>
      </c>
      <c r="K1004" s="2" t="s">
        <v>22</v>
      </c>
      <c r="L1004" s="2" t="s">
        <v>32</v>
      </c>
      <c r="M1004" s="3">
        <v>0</v>
      </c>
      <c r="N1004" s="3">
        <v>1</v>
      </c>
      <c r="O1004" s="9" t="s">
        <v>24</v>
      </c>
      <c r="P1004" s="3">
        <v>0</v>
      </c>
    </row>
    <row r="1005" spans="1:16" x14ac:dyDescent="0.3">
      <c r="A1005" s="2" t="s">
        <v>3628</v>
      </c>
      <c r="B1005" s="2" t="s">
        <v>3629</v>
      </c>
      <c r="C1005" s="2" t="s">
        <v>18</v>
      </c>
      <c r="D1005" s="5">
        <v>41.236783199999998</v>
      </c>
      <c r="E1005" s="5">
        <v>36.541570800000002</v>
      </c>
      <c r="F1005" s="2" t="s">
        <v>3630</v>
      </c>
      <c r="G1005" s="2" t="s">
        <v>28</v>
      </c>
      <c r="H1005" s="2" t="s">
        <v>29</v>
      </c>
      <c r="I1005" s="2" t="s">
        <v>30</v>
      </c>
      <c r="J1005" s="2" t="s">
        <v>3631</v>
      </c>
      <c r="K1005" s="2" t="s">
        <v>22</v>
      </c>
      <c r="L1005" s="2" t="s">
        <v>44</v>
      </c>
      <c r="M1005" s="3">
        <v>1</v>
      </c>
      <c r="N1005" s="3">
        <v>1</v>
      </c>
      <c r="O1005" s="9" t="s">
        <v>24</v>
      </c>
      <c r="P1005" s="3">
        <v>-399.47</v>
      </c>
    </row>
    <row r="1006" spans="1:16" x14ac:dyDescent="0.3">
      <c r="A1006" s="2" t="s">
        <v>3632</v>
      </c>
      <c r="B1006" s="2" t="s">
        <v>3633</v>
      </c>
      <c r="C1006" s="2" t="s">
        <v>18</v>
      </c>
      <c r="D1006" s="5">
        <v>41.051752</v>
      </c>
      <c r="E1006" s="5">
        <v>36.654747</v>
      </c>
      <c r="F1006" s="2" t="s">
        <v>3634</v>
      </c>
      <c r="G1006" s="2" t="s">
        <v>28</v>
      </c>
      <c r="H1006" s="2" t="s">
        <v>29</v>
      </c>
      <c r="I1006" s="2" t="s">
        <v>30</v>
      </c>
      <c r="J1006" s="2" t="s">
        <v>3635</v>
      </c>
      <c r="K1006" s="2" t="s">
        <v>22</v>
      </c>
      <c r="L1006" s="2" t="s">
        <v>145</v>
      </c>
      <c r="M1006" s="3">
        <v>0</v>
      </c>
      <c r="N1006" s="3">
        <v>1</v>
      </c>
      <c r="O1006" s="9" t="s">
        <v>24</v>
      </c>
      <c r="P1006" s="3">
        <v>0</v>
      </c>
    </row>
    <row r="1007" spans="1:16" x14ac:dyDescent="0.3">
      <c r="A1007" s="2" t="s">
        <v>3636</v>
      </c>
      <c r="B1007" s="2" t="s">
        <v>3637</v>
      </c>
      <c r="C1007" s="2" t="s">
        <v>18</v>
      </c>
      <c r="D1007" s="5">
        <v>41.311184300000001</v>
      </c>
      <c r="E1007" s="5">
        <v>36.301150900000003</v>
      </c>
      <c r="F1007" s="2" t="s">
        <v>347</v>
      </c>
      <c r="G1007" s="2" t="s">
        <v>348</v>
      </c>
      <c r="H1007" s="2" t="s">
        <v>349</v>
      </c>
      <c r="I1007" s="2" t="s">
        <v>350</v>
      </c>
      <c r="J1007" s="2" t="s">
        <v>3638</v>
      </c>
      <c r="K1007" s="2" t="s">
        <v>22</v>
      </c>
      <c r="L1007" s="2" t="s">
        <v>23</v>
      </c>
      <c r="M1007" s="3">
        <v>1</v>
      </c>
      <c r="N1007" s="3">
        <v>1</v>
      </c>
      <c r="O1007" s="9" t="s">
        <v>24</v>
      </c>
      <c r="P1007" s="3">
        <v>-87125.61</v>
      </c>
    </row>
    <row r="1008" spans="1:16" x14ac:dyDescent="0.3">
      <c r="A1008" s="2" t="s">
        <v>3639</v>
      </c>
      <c r="B1008" s="2" t="s">
        <v>3640</v>
      </c>
      <c r="C1008" s="2" t="s">
        <v>18</v>
      </c>
      <c r="D1008" s="5">
        <v>0</v>
      </c>
      <c r="E1008" s="5">
        <v>0</v>
      </c>
      <c r="F1008" s="2" t="s">
        <v>2257</v>
      </c>
      <c r="G1008" s="2" t="s">
        <v>221</v>
      </c>
      <c r="H1008" s="2" t="s">
        <v>222</v>
      </c>
      <c r="I1008" s="2" t="s">
        <v>222</v>
      </c>
      <c r="J1008" s="2" t="s">
        <v>3641</v>
      </c>
      <c r="K1008" s="2" t="s">
        <v>22</v>
      </c>
      <c r="L1008" s="2" t="s">
        <v>394</v>
      </c>
      <c r="M1008" s="3">
        <v>0</v>
      </c>
      <c r="N1008" s="3">
        <v>0</v>
      </c>
      <c r="O1008" s="9" t="s">
        <v>24</v>
      </c>
      <c r="P1008" s="3">
        <v>0</v>
      </c>
    </row>
    <row r="1009" spans="1:16" x14ac:dyDescent="0.3">
      <c r="A1009" s="2" t="s">
        <v>3642</v>
      </c>
      <c r="B1009" s="2" t="s">
        <v>3643</v>
      </c>
      <c r="C1009" s="2" t="s">
        <v>18</v>
      </c>
      <c r="D1009" s="5">
        <v>0</v>
      </c>
      <c r="E1009" s="5">
        <v>0</v>
      </c>
      <c r="F1009" s="2" t="s">
        <v>3644</v>
      </c>
      <c r="G1009" s="2" t="s">
        <v>28</v>
      </c>
      <c r="H1009" s="2" t="s">
        <v>29</v>
      </c>
      <c r="I1009" s="2" t="s">
        <v>30</v>
      </c>
      <c r="J1009" s="2" t="s">
        <v>3645</v>
      </c>
      <c r="K1009" s="2" t="s">
        <v>22</v>
      </c>
      <c r="L1009" s="2" t="s">
        <v>23</v>
      </c>
      <c r="M1009" s="3">
        <v>0</v>
      </c>
      <c r="N1009" s="3">
        <v>0</v>
      </c>
      <c r="O1009" s="9" t="s">
        <v>24</v>
      </c>
      <c r="P1009" s="3">
        <v>0</v>
      </c>
    </row>
    <row r="1010" spans="1:16" x14ac:dyDescent="0.3">
      <c r="A1010" s="2" t="s">
        <v>3646</v>
      </c>
      <c r="B1010" s="2" t="s">
        <v>3647</v>
      </c>
      <c r="C1010" s="2" t="s">
        <v>18</v>
      </c>
      <c r="D1010" s="5">
        <v>0</v>
      </c>
      <c r="E1010" s="5">
        <v>0</v>
      </c>
      <c r="F1010" s="2" t="s">
        <v>3648</v>
      </c>
      <c r="G1010" s="2" t="s">
        <v>28</v>
      </c>
      <c r="H1010" s="2" t="s">
        <v>29</v>
      </c>
      <c r="I1010" s="2" t="s">
        <v>30</v>
      </c>
      <c r="J1010" s="2" t="s">
        <v>3649</v>
      </c>
      <c r="K1010" s="2" t="s">
        <v>22</v>
      </c>
      <c r="L1010" s="2" t="s">
        <v>44</v>
      </c>
      <c r="M1010" s="3">
        <v>0</v>
      </c>
      <c r="N1010" s="3">
        <v>1</v>
      </c>
      <c r="O1010" s="9" t="s">
        <v>24</v>
      </c>
      <c r="P1010" s="3">
        <v>0</v>
      </c>
    </row>
    <row r="1011" spans="1:16" x14ac:dyDescent="0.3">
      <c r="A1011" s="2" t="s">
        <v>3650</v>
      </c>
      <c r="B1011" s="2" t="s">
        <v>3651</v>
      </c>
      <c r="C1011" s="2" t="s">
        <v>18</v>
      </c>
      <c r="D1011" s="5">
        <v>41.258443200000002</v>
      </c>
      <c r="E1011" s="5">
        <v>36.345758199999999</v>
      </c>
      <c r="F1011" s="2" t="s">
        <v>2148</v>
      </c>
      <c r="G1011" s="2" t="s">
        <v>221</v>
      </c>
      <c r="H1011" s="2" t="s">
        <v>222</v>
      </c>
      <c r="I1011" s="2" t="s">
        <v>222</v>
      </c>
      <c r="J1011" s="2" t="s">
        <v>3652</v>
      </c>
      <c r="K1011" s="2" t="s">
        <v>22</v>
      </c>
      <c r="L1011" s="2" t="s">
        <v>99</v>
      </c>
      <c r="M1011" s="3">
        <v>0</v>
      </c>
      <c r="N1011" s="3">
        <v>1</v>
      </c>
      <c r="O1011" s="9" t="s">
        <v>54</v>
      </c>
      <c r="P1011" s="3">
        <v>0</v>
      </c>
    </row>
    <row r="1012" spans="1:16" x14ac:dyDescent="0.3">
      <c r="A1012" s="2" t="s">
        <v>3653</v>
      </c>
      <c r="B1012" s="2" t="s">
        <v>3654</v>
      </c>
      <c r="C1012" s="2" t="s">
        <v>18</v>
      </c>
      <c r="D1012" s="5">
        <v>41.334152000000003</v>
      </c>
      <c r="E1012" s="5">
        <v>36.258920000000003</v>
      </c>
      <c r="F1012" s="2" t="s">
        <v>3655</v>
      </c>
      <c r="G1012" s="2" t="s">
        <v>28</v>
      </c>
      <c r="H1012" s="2" t="s">
        <v>29</v>
      </c>
      <c r="I1012" s="2" t="s">
        <v>30</v>
      </c>
      <c r="J1012" s="2" t="s">
        <v>3656</v>
      </c>
      <c r="K1012" s="2" t="s">
        <v>22</v>
      </c>
      <c r="L1012" s="2" t="s">
        <v>23</v>
      </c>
      <c r="M1012" s="3">
        <v>0</v>
      </c>
      <c r="N1012" s="3">
        <v>1</v>
      </c>
      <c r="O1012" s="9" t="s">
        <v>24</v>
      </c>
      <c r="P1012" s="3">
        <v>0</v>
      </c>
    </row>
    <row r="1013" spans="1:16" x14ac:dyDescent="0.3">
      <c r="A1013" s="2" t="s">
        <v>3657</v>
      </c>
      <c r="B1013" s="2" t="s">
        <v>3658</v>
      </c>
      <c r="C1013" s="2" t="s">
        <v>18</v>
      </c>
      <c r="D1013" s="5">
        <v>0</v>
      </c>
      <c r="E1013" s="5">
        <v>0</v>
      </c>
      <c r="F1013" s="2" t="s">
        <v>54</v>
      </c>
      <c r="G1013" s="2" t="s">
        <v>221</v>
      </c>
      <c r="H1013" s="2" t="s">
        <v>926</v>
      </c>
      <c r="I1013" s="2" t="s">
        <v>926</v>
      </c>
      <c r="J1013" s="2" t="s">
        <v>3659</v>
      </c>
      <c r="K1013" s="2" t="s">
        <v>63</v>
      </c>
      <c r="L1013" s="2" t="s">
        <v>89</v>
      </c>
      <c r="M1013" s="3">
        <v>0</v>
      </c>
      <c r="N1013" s="3">
        <v>1</v>
      </c>
      <c r="O1013" s="9" t="s">
        <v>24</v>
      </c>
      <c r="P1013" s="3">
        <v>0</v>
      </c>
    </row>
    <row r="1014" spans="1:16" x14ac:dyDescent="0.3">
      <c r="A1014" s="2" t="s">
        <v>3660</v>
      </c>
      <c r="B1014" s="2" t="s">
        <v>3661</v>
      </c>
      <c r="C1014" s="2" t="s">
        <v>18</v>
      </c>
      <c r="D1014" s="5">
        <v>41.363333300000001</v>
      </c>
      <c r="E1014" s="5">
        <v>36.232361699999998</v>
      </c>
      <c r="F1014" s="2" t="s">
        <v>3306</v>
      </c>
      <c r="G1014" s="2" t="s">
        <v>221</v>
      </c>
      <c r="H1014" s="2" t="s">
        <v>222</v>
      </c>
      <c r="I1014" s="2" t="s">
        <v>222</v>
      </c>
      <c r="J1014" s="2" t="s">
        <v>3662</v>
      </c>
      <c r="K1014" s="2" t="s">
        <v>22</v>
      </c>
      <c r="L1014" s="2" t="s">
        <v>32</v>
      </c>
      <c r="M1014" s="3">
        <v>4</v>
      </c>
      <c r="N1014" s="3">
        <v>1</v>
      </c>
      <c r="O1014" s="9" t="s">
        <v>24</v>
      </c>
      <c r="P1014" s="3">
        <v>0</v>
      </c>
    </row>
    <row r="1015" spans="1:16" x14ac:dyDescent="0.3">
      <c r="A1015" s="2" t="s">
        <v>3663</v>
      </c>
      <c r="B1015" s="2" t="s">
        <v>3664</v>
      </c>
      <c r="C1015" s="2" t="s">
        <v>18</v>
      </c>
      <c r="D1015" s="5">
        <v>41.239607800000002</v>
      </c>
      <c r="E1015" s="5">
        <v>36.417519400000003</v>
      </c>
      <c r="F1015" s="2" t="s">
        <v>54</v>
      </c>
      <c r="G1015" s="2" t="s">
        <v>221</v>
      </c>
      <c r="H1015" s="2" t="s">
        <v>926</v>
      </c>
      <c r="I1015" s="2" t="s">
        <v>926</v>
      </c>
      <c r="J1015" s="2" t="s">
        <v>3665</v>
      </c>
      <c r="K1015" s="2" t="s">
        <v>22</v>
      </c>
      <c r="L1015" s="2" t="s">
        <v>39</v>
      </c>
      <c r="M1015" s="3">
        <v>0</v>
      </c>
      <c r="N1015" s="3">
        <v>1</v>
      </c>
      <c r="O1015" s="9" t="s">
        <v>24</v>
      </c>
      <c r="P1015" s="3">
        <v>0</v>
      </c>
    </row>
    <row r="1016" spans="1:16" x14ac:dyDescent="0.3">
      <c r="A1016" s="2" t="s">
        <v>3666</v>
      </c>
      <c r="B1016" s="2" t="s">
        <v>3667</v>
      </c>
      <c r="C1016" s="2" t="s">
        <v>18</v>
      </c>
      <c r="D1016" s="5">
        <v>41.142622899999999</v>
      </c>
      <c r="E1016" s="5">
        <v>37.283785999999999</v>
      </c>
      <c r="F1016" s="2" t="s">
        <v>3668</v>
      </c>
      <c r="G1016" s="2" t="s">
        <v>221</v>
      </c>
      <c r="H1016" s="2" t="s">
        <v>222</v>
      </c>
      <c r="I1016" s="2" t="s">
        <v>222</v>
      </c>
      <c r="J1016" s="2" t="s">
        <v>3669</v>
      </c>
      <c r="K1016" s="2" t="s">
        <v>63</v>
      </c>
      <c r="L1016" s="2" t="s">
        <v>89</v>
      </c>
      <c r="M1016" s="3">
        <v>1</v>
      </c>
      <c r="N1016" s="3">
        <v>1</v>
      </c>
      <c r="O1016" s="9" t="s">
        <v>24</v>
      </c>
      <c r="P1016" s="3">
        <v>0</v>
      </c>
    </row>
    <row r="1017" spans="1:16" x14ac:dyDescent="0.3">
      <c r="A1017" s="2" t="s">
        <v>3670</v>
      </c>
      <c r="B1017" s="2" t="s">
        <v>3671</v>
      </c>
      <c r="C1017" s="2" t="s">
        <v>18</v>
      </c>
      <c r="D1017" s="5">
        <v>41.313405799999998</v>
      </c>
      <c r="E1017" s="5">
        <v>36.314056299999997</v>
      </c>
      <c r="F1017" s="2" t="s">
        <v>3609</v>
      </c>
      <c r="G1017" s="2" t="s">
        <v>221</v>
      </c>
      <c r="H1017" s="2" t="s">
        <v>222</v>
      </c>
      <c r="I1017" s="2" t="s">
        <v>222</v>
      </c>
      <c r="J1017" s="2" t="s">
        <v>3672</v>
      </c>
      <c r="K1017" s="2" t="s">
        <v>22</v>
      </c>
      <c r="L1017" s="2" t="s">
        <v>32</v>
      </c>
      <c r="M1017" s="3">
        <v>0</v>
      </c>
      <c r="N1017" s="3">
        <v>1</v>
      </c>
      <c r="O1017" s="9" t="s">
        <v>24</v>
      </c>
      <c r="P1017" s="3">
        <v>0</v>
      </c>
    </row>
    <row r="1018" spans="1:16" x14ac:dyDescent="0.3">
      <c r="A1018" s="2" t="s">
        <v>3673</v>
      </c>
      <c r="B1018" s="2" t="s">
        <v>3674</v>
      </c>
      <c r="C1018" s="2" t="s">
        <v>18</v>
      </c>
      <c r="D1018" s="5">
        <v>41.121405799999998</v>
      </c>
      <c r="E1018" s="5">
        <v>37.281044999999999</v>
      </c>
      <c r="F1018" s="2" t="s">
        <v>3675</v>
      </c>
      <c r="G1018" s="2" t="s">
        <v>221</v>
      </c>
      <c r="H1018" s="2" t="s">
        <v>222</v>
      </c>
      <c r="I1018" s="2" t="s">
        <v>222</v>
      </c>
      <c r="J1018" s="2" t="s">
        <v>3676</v>
      </c>
      <c r="K1018" s="2" t="s">
        <v>63</v>
      </c>
      <c r="L1018" s="2" t="s">
        <v>89</v>
      </c>
      <c r="M1018" s="3">
        <v>2</v>
      </c>
      <c r="N1018" s="3">
        <v>1</v>
      </c>
      <c r="O1018" s="9" t="s">
        <v>24</v>
      </c>
      <c r="P1018" s="3">
        <v>-0.02</v>
      </c>
    </row>
    <row r="1019" spans="1:16" x14ac:dyDescent="0.3">
      <c r="A1019" s="2" t="s">
        <v>3677</v>
      </c>
      <c r="B1019" s="2" t="s">
        <v>3678</v>
      </c>
      <c r="C1019" s="2" t="s">
        <v>18</v>
      </c>
      <c r="D1019" s="5">
        <v>41.267394000000003</v>
      </c>
      <c r="E1019" s="5">
        <v>36.356742599999997</v>
      </c>
      <c r="F1019" s="2" t="s">
        <v>3679</v>
      </c>
      <c r="G1019" s="2" t="s">
        <v>28</v>
      </c>
      <c r="H1019" s="2" t="s">
        <v>29</v>
      </c>
      <c r="I1019" s="2" t="s">
        <v>30</v>
      </c>
      <c r="J1019" s="2" t="s">
        <v>3680</v>
      </c>
      <c r="K1019" s="2" t="s">
        <v>22</v>
      </c>
      <c r="L1019" s="2" t="s">
        <v>99</v>
      </c>
      <c r="M1019" s="3">
        <v>0</v>
      </c>
      <c r="N1019" s="3">
        <v>1</v>
      </c>
      <c r="O1019" s="9" t="s">
        <v>24</v>
      </c>
      <c r="P1019" s="3">
        <v>0</v>
      </c>
    </row>
    <row r="1020" spans="1:16" x14ac:dyDescent="0.3">
      <c r="A1020" s="2" t="s">
        <v>3681</v>
      </c>
      <c r="B1020" s="2" t="s">
        <v>3682</v>
      </c>
      <c r="C1020" s="2" t="s">
        <v>18</v>
      </c>
      <c r="D1020" s="5">
        <v>41.282930999999998</v>
      </c>
      <c r="E1020" s="5">
        <v>36.337154599999998</v>
      </c>
      <c r="F1020" s="2" t="s">
        <v>3683</v>
      </c>
      <c r="G1020" s="2" t="s">
        <v>221</v>
      </c>
      <c r="H1020" s="2" t="s">
        <v>1049</v>
      </c>
      <c r="I1020" s="2" t="s">
        <v>1049</v>
      </c>
      <c r="J1020" s="2" t="s">
        <v>3684</v>
      </c>
      <c r="K1020" s="2" t="s">
        <v>22</v>
      </c>
      <c r="L1020" s="2" t="s">
        <v>32</v>
      </c>
      <c r="M1020" s="3">
        <v>0</v>
      </c>
      <c r="N1020" s="3">
        <v>1</v>
      </c>
      <c r="O1020" s="9" t="s">
        <v>24</v>
      </c>
      <c r="P1020" s="3">
        <v>5004.96</v>
      </c>
    </row>
    <row r="1021" spans="1:16" x14ac:dyDescent="0.3">
      <c r="A1021" s="2" t="s">
        <v>3685</v>
      </c>
      <c r="B1021" s="2" t="s">
        <v>3686</v>
      </c>
      <c r="C1021" s="2" t="s">
        <v>18</v>
      </c>
      <c r="D1021" s="5">
        <v>41.199399300000003</v>
      </c>
      <c r="E1021" s="5">
        <v>36.727922200000002</v>
      </c>
      <c r="F1021" s="2" t="s">
        <v>3687</v>
      </c>
      <c r="G1021" s="2" t="s">
        <v>28</v>
      </c>
      <c r="H1021" s="2" t="s">
        <v>29</v>
      </c>
      <c r="I1021" s="2" t="s">
        <v>30</v>
      </c>
      <c r="J1021" s="2" t="s">
        <v>3688</v>
      </c>
      <c r="K1021" s="2" t="s">
        <v>22</v>
      </c>
      <c r="L1021" s="2" t="s">
        <v>44</v>
      </c>
      <c r="M1021" s="3">
        <v>1</v>
      </c>
      <c r="N1021" s="3">
        <v>1</v>
      </c>
      <c r="O1021" s="9" t="s">
        <v>24</v>
      </c>
      <c r="P1021" s="3">
        <v>-0.12</v>
      </c>
    </row>
    <row r="1022" spans="1:16" x14ac:dyDescent="0.3">
      <c r="A1022" s="2" t="s">
        <v>3689</v>
      </c>
      <c r="B1022" s="2" t="s">
        <v>3690</v>
      </c>
      <c r="C1022" s="2" t="s">
        <v>18</v>
      </c>
      <c r="D1022" s="5">
        <v>41.132217799999999</v>
      </c>
      <c r="E1022" s="5">
        <v>36.772672399999998</v>
      </c>
      <c r="F1022" s="2" t="s">
        <v>54</v>
      </c>
      <c r="G1022" s="2" t="s">
        <v>221</v>
      </c>
      <c r="H1022" s="2" t="s">
        <v>1688</v>
      </c>
      <c r="I1022" s="2" t="s">
        <v>1688</v>
      </c>
      <c r="J1022" s="2" t="s">
        <v>3691</v>
      </c>
      <c r="K1022" s="2" t="s">
        <v>22</v>
      </c>
      <c r="L1022" s="2" t="s">
        <v>44</v>
      </c>
      <c r="M1022" s="3">
        <v>0</v>
      </c>
      <c r="N1022" s="3">
        <v>1</v>
      </c>
      <c r="O1022" s="9" t="s">
        <v>24</v>
      </c>
      <c r="P1022" s="3">
        <v>0</v>
      </c>
    </row>
    <row r="1023" spans="1:16" x14ac:dyDescent="0.3">
      <c r="A1023" s="2" t="s">
        <v>3692</v>
      </c>
      <c r="B1023" s="2" t="s">
        <v>3693</v>
      </c>
      <c r="C1023" s="2" t="s">
        <v>18</v>
      </c>
      <c r="D1023" s="5">
        <v>40.946985699999999</v>
      </c>
      <c r="E1023" s="5">
        <v>37.0067472</v>
      </c>
      <c r="F1023" s="2" t="s">
        <v>54</v>
      </c>
      <c r="G1023" s="2" t="s">
        <v>259</v>
      </c>
      <c r="H1023" s="2" t="s">
        <v>260</v>
      </c>
      <c r="I1023" s="2" t="s">
        <v>260</v>
      </c>
      <c r="J1023" s="2" t="s">
        <v>3694</v>
      </c>
      <c r="K1023" s="2" t="s">
        <v>63</v>
      </c>
      <c r="L1023" s="2" t="s">
        <v>2873</v>
      </c>
      <c r="M1023" s="3">
        <v>1</v>
      </c>
      <c r="N1023" s="3">
        <v>1</v>
      </c>
      <c r="O1023" s="9" t="s">
        <v>24</v>
      </c>
      <c r="P1023" s="3">
        <v>0</v>
      </c>
    </row>
    <row r="1024" spans="1:16" x14ac:dyDescent="0.3">
      <c r="A1024" s="2" t="s">
        <v>3695</v>
      </c>
      <c r="B1024" s="2" t="s">
        <v>3696</v>
      </c>
      <c r="C1024" s="2" t="s">
        <v>18</v>
      </c>
      <c r="D1024" s="5">
        <v>40.945225200000003</v>
      </c>
      <c r="E1024" s="5">
        <v>37.007295599999999</v>
      </c>
      <c r="F1024" s="2" t="s">
        <v>3697</v>
      </c>
      <c r="G1024" s="2" t="s">
        <v>28</v>
      </c>
      <c r="H1024" s="2" t="s">
        <v>29</v>
      </c>
      <c r="I1024" s="2" t="s">
        <v>30</v>
      </c>
      <c r="J1024" s="2" t="s">
        <v>3698</v>
      </c>
      <c r="K1024" s="2" t="s">
        <v>63</v>
      </c>
      <c r="L1024" s="2" t="s">
        <v>2873</v>
      </c>
      <c r="M1024" s="3">
        <v>1</v>
      </c>
      <c r="N1024" s="3">
        <v>1</v>
      </c>
      <c r="O1024" s="9" t="s">
        <v>24</v>
      </c>
      <c r="P1024" s="3">
        <v>0.12</v>
      </c>
    </row>
    <row r="1025" spans="1:16" x14ac:dyDescent="0.3">
      <c r="A1025" s="2" t="s">
        <v>3699</v>
      </c>
      <c r="B1025" s="2" t="s">
        <v>3700</v>
      </c>
      <c r="C1025" s="2" t="s">
        <v>18</v>
      </c>
      <c r="D1025" s="5">
        <v>41.217547199999998</v>
      </c>
      <c r="E1025" s="5">
        <v>36.613461700000002</v>
      </c>
      <c r="F1025" s="2" t="s">
        <v>3701</v>
      </c>
      <c r="G1025" s="2" t="s">
        <v>221</v>
      </c>
      <c r="H1025" s="2" t="s">
        <v>222</v>
      </c>
      <c r="I1025" s="2" t="s">
        <v>222</v>
      </c>
      <c r="J1025" s="2" t="s">
        <v>3702</v>
      </c>
      <c r="K1025" s="2" t="s">
        <v>22</v>
      </c>
      <c r="L1025" s="2" t="s">
        <v>44</v>
      </c>
      <c r="M1025" s="3">
        <v>0</v>
      </c>
      <c r="N1025" s="3">
        <v>1</v>
      </c>
      <c r="O1025" s="9" t="s">
        <v>24</v>
      </c>
      <c r="P1025" s="3">
        <v>0</v>
      </c>
    </row>
    <row r="1026" spans="1:16" x14ac:dyDescent="0.3">
      <c r="A1026" s="2" t="s">
        <v>3703</v>
      </c>
      <c r="B1026" s="2" t="s">
        <v>3704</v>
      </c>
      <c r="C1026" s="2" t="s">
        <v>18</v>
      </c>
      <c r="D1026" s="5">
        <v>41.143783300000003</v>
      </c>
      <c r="E1026" s="5">
        <v>37.178195000000002</v>
      </c>
      <c r="F1026" s="2" t="s">
        <v>54</v>
      </c>
      <c r="G1026" s="2" t="s">
        <v>221</v>
      </c>
      <c r="H1026" s="2" t="s">
        <v>926</v>
      </c>
      <c r="I1026" s="2" t="s">
        <v>926</v>
      </c>
      <c r="J1026" s="2" t="s">
        <v>3705</v>
      </c>
      <c r="K1026" s="2" t="s">
        <v>63</v>
      </c>
      <c r="L1026" s="2" t="s">
        <v>89</v>
      </c>
      <c r="M1026" s="3">
        <v>1</v>
      </c>
      <c r="N1026" s="3">
        <v>1</v>
      </c>
      <c r="O1026" s="9" t="s">
        <v>24</v>
      </c>
      <c r="P1026" s="3">
        <v>0</v>
      </c>
    </row>
    <row r="1027" spans="1:16" x14ac:dyDescent="0.3">
      <c r="A1027" s="2" t="s">
        <v>3706</v>
      </c>
      <c r="B1027" s="2" t="s">
        <v>3707</v>
      </c>
      <c r="C1027" s="2" t="s">
        <v>18</v>
      </c>
      <c r="D1027" s="5">
        <v>41.208503999999998</v>
      </c>
      <c r="E1027" s="5">
        <v>36.965899999999998</v>
      </c>
      <c r="F1027" s="2" t="s">
        <v>3708</v>
      </c>
      <c r="G1027" s="2" t="s">
        <v>221</v>
      </c>
      <c r="H1027" s="2" t="s">
        <v>222</v>
      </c>
      <c r="I1027" s="2" t="s">
        <v>222</v>
      </c>
      <c r="J1027" s="2" t="s">
        <v>3709</v>
      </c>
      <c r="K1027" s="2" t="s">
        <v>22</v>
      </c>
      <c r="L1027" s="2" t="s">
        <v>328</v>
      </c>
      <c r="M1027" s="3">
        <v>1</v>
      </c>
      <c r="N1027" s="3">
        <v>1</v>
      </c>
      <c r="O1027" s="9" t="s">
        <v>24</v>
      </c>
      <c r="P1027" s="3">
        <v>0</v>
      </c>
    </row>
    <row r="1028" spans="1:16" x14ac:dyDescent="0.3">
      <c r="A1028" s="2" t="s">
        <v>3710</v>
      </c>
      <c r="B1028" s="2" t="s">
        <v>3711</v>
      </c>
      <c r="C1028" s="2" t="s">
        <v>18</v>
      </c>
      <c r="D1028" s="5">
        <v>41.549250000000001</v>
      </c>
      <c r="E1028" s="5">
        <v>35.706302999999998</v>
      </c>
      <c r="F1028" s="2" t="s">
        <v>3712</v>
      </c>
      <c r="G1028" s="2" t="s">
        <v>28</v>
      </c>
      <c r="H1028" s="2" t="s">
        <v>29</v>
      </c>
      <c r="I1028" s="2" t="s">
        <v>30</v>
      </c>
      <c r="J1028" s="2" t="s">
        <v>3713</v>
      </c>
      <c r="K1028" s="2" t="s">
        <v>22</v>
      </c>
      <c r="L1028" s="2" t="s">
        <v>265</v>
      </c>
      <c r="M1028" s="3">
        <v>1</v>
      </c>
      <c r="N1028" s="3">
        <v>1</v>
      </c>
      <c r="O1028" s="9" t="s">
        <v>24</v>
      </c>
      <c r="P1028" s="3">
        <v>0</v>
      </c>
    </row>
    <row r="1029" spans="1:16" x14ac:dyDescent="0.3">
      <c r="A1029" s="2" t="s">
        <v>3714</v>
      </c>
      <c r="B1029" s="2" t="s">
        <v>3715</v>
      </c>
      <c r="C1029" s="2" t="s">
        <v>18</v>
      </c>
      <c r="D1029" s="5">
        <v>41.220116699999998</v>
      </c>
      <c r="E1029" s="5">
        <v>36.451045000000001</v>
      </c>
      <c r="F1029" s="2" t="s">
        <v>3716</v>
      </c>
      <c r="G1029" s="2" t="s">
        <v>28</v>
      </c>
      <c r="H1029" s="2" t="s">
        <v>29</v>
      </c>
      <c r="I1029" s="2" t="s">
        <v>30</v>
      </c>
      <c r="J1029" s="2" t="s">
        <v>3717</v>
      </c>
      <c r="K1029" s="2" t="s">
        <v>22</v>
      </c>
      <c r="L1029" s="2" t="s">
        <v>39</v>
      </c>
      <c r="M1029" s="3">
        <v>1</v>
      </c>
      <c r="N1029" s="3">
        <v>1</v>
      </c>
      <c r="O1029" s="9" t="s">
        <v>24</v>
      </c>
      <c r="P1029" s="3">
        <v>0</v>
      </c>
    </row>
    <row r="1030" spans="1:16" x14ac:dyDescent="0.3">
      <c r="A1030" s="2" t="s">
        <v>3718</v>
      </c>
      <c r="B1030" s="2" t="s">
        <v>3719</v>
      </c>
      <c r="C1030" s="2" t="s">
        <v>18</v>
      </c>
      <c r="D1030" s="5">
        <v>0</v>
      </c>
      <c r="E1030" s="5">
        <v>0</v>
      </c>
      <c r="F1030" s="2" t="s">
        <v>3720</v>
      </c>
      <c r="G1030" s="2" t="s">
        <v>221</v>
      </c>
      <c r="H1030" s="2" t="s">
        <v>222</v>
      </c>
      <c r="I1030" s="2" t="s">
        <v>222</v>
      </c>
      <c r="J1030" s="2" t="s">
        <v>3721</v>
      </c>
      <c r="K1030" s="2" t="s">
        <v>22</v>
      </c>
      <c r="L1030" s="2" t="s">
        <v>44</v>
      </c>
      <c r="M1030" s="3">
        <v>0</v>
      </c>
      <c r="N1030" s="3">
        <v>1</v>
      </c>
      <c r="O1030" s="9" t="s">
        <v>24</v>
      </c>
      <c r="P1030" s="3">
        <v>0</v>
      </c>
    </row>
    <row r="1031" spans="1:16" x14ac:dyDescent="0.3">
      <c r="A1031" s="2" t="s">
        <v>3722</v>
      </c>
      <c r="B1031" s="2" t="s">
        <v>3723</v>
      </c>
      <c r="C1031" s="2" t="s">
        <v>18</v>
      </c>
      <c r="D1031" s="5">
        <v>41.216080599999998</v>
      </c>
      <c r="E1031" s="5">
        <v>36.9783258</v>
      </c>
      <c r="F1031" s="2" t="s">
        <v>3724</v>
      </c>
      <c r="G1031" s="2" t="s">
        <v>221</v>
      </c>
      <c r="H1031" s="2" t="s">
        <v>222</v>
      </c>
      <c r="I1031" s="2" t="s">
        <v>222</v>
      </c>
      <c r="J1031" s="2" t="s">
        <v>3725</v>
      </c>
      <c r="K1031" s="2" t="s">
        <v>22</v>
      </c>
      <c r="L1031" s="2" t="s">
        <v>328</v>
      </c>
      <c r="M1031" s="3">
        <v>1</v>
      </c>
      <c r="N1031" s="3">
        <v>1</v>
      </c>
      <c r="O1031" s="9" t="s">
        <v>24</v>
      </c>
      <c r="P1031" s="3">
        <v>-0.06</v>
      </c>
    </row>
    <row r="1032" spans="1:16" x14ac:dyDescent="0.3">
      <c r="A1032" s="2" t="s">
        <v>3726</v>
      </c>
      <c r="B1032" s="2" t="s">
        <v>3727</v>
      </c>
      <c r="C1032" s="2" t="s">
        <v>18</v>
      </c>
      <c r="D1032" s="5">
        <v>41.208128299999998</v>
      </c>
      <c r="E1032" s="5">
        <v>36.988196700000003</v>
      </c>
      <c r="F1032" s="2" t="s">
        <v>3728</v>
      </c>
      <c r="G1032" s="2" t="s">
        <v>221</v>
      </c>
      <c r="H1032" s="2" t="s">
        <v>222</v>
      </c>
      <c r="I1032" s="2" t="s">
        <v>222</v>
      </c>
      <c r="J1032" s="2" t="s">
        <v>3729</v>
      </c>
      <c r="K1032" s="2" t="s">
        <v>22</v>
      </c>
      <c r="L1032" s="2" t="s">
        <v>328</v>
      </c>
      <c r="M1032" s="3">
        <v>1</v>
      </c>
      <c r="N1032" s="3">
        <v>1</v>
      </c>
      <c r="O1032" s="9" t="s">
        <v>24</v>
      </c>
      <c r="P1032" s="3">
        <v>0</v>
      </c>
    </row>
    <row r="1033" spans="1:16" x14ac:dyDescent="0.3">
      <c r="A1033" s="2" t="s">
        <v>3730</v>
      </c>
      <c r="B1033" s="2" t="s">
        <v>3731</v>
      </c>
      <c r="C1033" s="2" t="s">
        <v>18</v>
      </c>
      <c r="D1033" s="5">
        <v>41.563386700000002</v>
      </c>
      <c r="E1033" s="5">
        <v>35.924266699999997</v>
      </c>
      <c r="F1033" s="2" t="s">
        <v>3732</v>
      </c>
      <c r="G1033" s="2" t="s">
        <v>28</v>
      </c>
      <c r="H1033" s="2" t="s">
        <v>29</v>
      </c>
      <c r="I1033" s="2" t="s">
        <v>30</v>
      </c>
      <c r="J1033" s="2" t="s">
        <v>3733</v>
      </c>
      <c r="K1033" s="2" t="s">
        <v>22</v>
      </c>
      <c r="L1033" s="2" t="s">
        <v>53</v>
      </c>
      <c r="M1033" s="3">
        <v>1</v>
      </c>
      <c r="N1033" s="3">
        <v>1</v>
      </c>
      <c r="O1033" s="9" t="s">
        <v>24</v>
      </c>
      <c r="P1033" s="3">
        <v>0</v>
      </c>
    </row>
    <row r="1034" spans="1:16" x14ac:dyDescent="0.3">
      <c r="A1034" s="2" t="s">
        <v>3734</v>
      </c>
      <c r="B1034" s="2" t="s">
        <v>3735</v>
      </c>
      <c r="C1034" s="2" t="s">
        <v>18</v>
      </c>
      <c r="D1034" s="5">
        <v>41.050249999999998</v>
      </c>
      <c r="E1034" s="5">
        <v>37.066319999999997</v>
      </c>
      <c r="F1034" s="2" t="s">
        <v>1768</v>
      </c>
      <c r="G1034" s="2" t="s">
        <v>221</v>
      </c>
      <c r="H1034" s="2" t="s">
        <v>222</v>
      </c>
      <c r="I1034" s="2" t="s">
        <v>222</v>
      </c>
      <c r="J1034" s="2" t="s">
        <v>3736</v>
      </c>
      <c r="K1034" s="2" t="s">
        <v>63</v>
      </c>
      <c r="L1034" s="2" t="s">
        <v>94</v>
      </c>
      <c r="M1034" s="3">
        <v>1</v>
      </c>
      <c r="N1034" s="3">
        <v>1</v>
      </c>
      <c r="O1034" s="9" t="s">
        <v>24</v>
      </c>
      <c r="P1034" s="3">
        <v>0</v>
      </c>
    </row>
    <row r="1035" spans="1:16" x14ac:dyDescent="0.3">
      <c r="A1035" s="2" t="s">
        <v>3737</v>
      </c>
      <c r="B1035" s="2" t="s">
        <v>3738</v>
      </c>
      <c r="C1035" s="2" t="s">
        <v>18</v>
      </c>
      <c r="D1035" s="5">
        <v>0</v>
      </c>
      <c r="E1035" s="5">
        <v>0</v>
      </c>
      <c r="F1035" s="2" t="s">
        <v>3739</v>
      </c>
      <c r="G1035" s="2" t="s">
        <v>28</v>
      </c>
      <c r="H1035" s="2" t="s">
        <v>29</v>
      </c>
      <c r="I1035" s="2" t="s">
        <v>30</v>
      </c>
      <c r="J1035" s="2" t="s">
        <v>3740</v>
      </c>
      <c r="K1035" s="2" t="s">
        <v>22</v>
      </c>
      <c r="L1035" s="2" t="s">
        <v>44</v>
      </c>
      <c r="M1035" s="3">
        <v>1</v>
      </c>
      <c r="N1035" s="3">
        <v>1</v>
      </c>
      <c r="O1035" s="9" t="s">
        <v>24</v>
      </c>
      <c r="P1035" s="3">
        <v>0</v>
      </c>
    </row>
    <row r="1036" spans="1:16" x14ac:dyDescent="0.3">
      <c r="A1036" s="2" t="s">
        <v>3741</v>
      </c>
      <c r="B1036" s="2" t="s">
        <v>3742</v>
      </c>
      <c r="C1036" s="2" t="s">
        <v>18</v>
      </c>
      <c r="D1036" s="5">
        <v>0</v>
      </c>
      <c r="E1036" s="5">
        <v>0</v>
      </c>
      <c r="F1036" s="2" t="s">
        <v>54</v>
      </c>
      <c r="G1036" s="2" t="s">
        <v>221</v>
      </c>
      <c r="H1036" s="2" t="s">
        <v>926</v>
      </c>
      <c r="I1036" s="2" t="s">
        <v>926</v>
      </c>
      <c r="J1036" s="2" t="s">
        <v>2910</v>
      </c>
      <c r="K1036" s="2" t="s">
        <v>22</v>
      </c>
      <c r="L1036" s="2" t="s">
        <v>23</v>
      </c>
      <c r="M1036" s="3">
        <v>0</v>
      </c>
      <c r="N1036" s="3">
        <v>1</v>
      </c>
      <c r="O1036" s="9" t="s">
        <v>24</v>
      </c>
      <c r="P1036" s="3">
        <v>0</v>
      </c>
    </row>
    <row r="1037" spans="1:16" x14ac:dyDescent="0.3">
      <c r="A1037" s="2" t="s">
        <v>3743</v>
      </c>
      <c r="B1037" s="2" t="s">
        <v>3744</v>
      </c>
      <c r="C1037" s="2" t="s">
        <v>18</v>
      </c>
      <c r="D1037" s="5">
        <v>0</v>
      </c>
      <c r="E1037" s="5">
        <v>0</v>
      </c>
      <c r="F1037" s="2" t="s">
        <v>54</v>
      </c>
      <c r="G1037" s="2" t="s">
        <v>221</v>
      </c>
      <c r="H1037" s="2" t="s">
        <v>926</v>
      </c>
      <c r="I1037" s="2" t="s">
        <v>926</v>
      </c>
      <c r="J1037" s="2" t="s">
        <v>3745</v>
      </c>
      <c r="K1037" s="2" t="s">
        <v>154</v>
      </c>
      <c r="L1037" s="2" t="s">
        <v>155</v>
      </c>
      <c r="M1037" s="3">
        <v>0</v>
      </c>
      <c r="N1037" s="3">
        <v>1</v>
      </c>
      <c r="O1037" s="9" t="s">
        <v>24</v>
      </c>
      <c r="P1037" s="3">
        <v>0</v>
      </c>
    </row>
    <row r="1038" spans="1:16" x14ac:dyDescent="0.3">
      <c r="A1038" s="2" t="s">
        <v>3746</v>
      </c>
      <c r="B1038" s="2" t="s">
        <v>3747</v>
      </c>
      <c r="C1038" s="2" t="s">
        <v>18</v>
      </c>
      <c r="D1038" s="5">
        <v>0</v>
      </c>
      <c r="E1038" s="5">
        <v>0</v>
      </c>
      <c r="F1038" s="2" t="s">
        <v>3748</v>
      </c>
      <c r="G1038" s="2" t="s">
        <v>221</v>
      </c>
      <c r="H1038" s="2" t="s">
        <v>1049</v>
      </c>
      <c r="I1038" s="2" t="s">
        <v>1049</v>
      </c>
      <c r="J1038" s="2" t="s">
        <v>3749</v>
      </c>
      <c r="K1038" s="2" t="s">
        <v>63</v>
      </c>
      <c r="L1038" s="2" t="s">
        <v>89</v>
      </c>
      <c r="M1038" s="3">
        <v>0</v>
      </c>
      <c r="N1038" s="3">
        <v>0</v>
      </c>
      <c r="O1038" s="9" t="s">
        <v>24</v>
      </c>
      <c r="P1038" s="3">
        <v>0</v>
      </c>
    </row>
    <row r="1039" spans="1:16" x14ac:dyDescent="0.3">
      <c r="A1039" s="2" t="s">
        <v>3750</v>
      </c>
      <c r="B1039" s="2" t="s">
        <v>3751</v>
      </c>
      <c r="C1039" s="2" t="s">
        <v>18</v>
      </c>
      <c r="D1039" s="5">
        <v>0</v>
      </c>
      <c r="E1039" s="5">
        <v>0</v>
      </c>
      <c r="F1039" s="2" t="s">
        <v>3752</v>
      </c>
      <c r="G1039" s="2" t="s">
        <v>221</v>
      </c>
      <c r="H1039" s="2" t="s">
        <v>222</v>
      </c>
      <c r="I1039" s="2" t="s">
        <v>222</v>
      </c>
      <c r="J1039" s="2" t="s">
        <v>3753</v>
      </c>
      <c r="K1039" s="2" t="s">
        <v>22</v>
      </c>
      <c r="L1039" s="2" t="s">
        <v>44</v>
      </c>
      <c r="M1039" s="3">
        <v>1</v>
      </c>
      <c r="N1039" s="3">
        <v>1</v>
      </c>
      <c r="O1039" s="9" t="s">
        <v>24</v>
      </c>
      <c r="P1039" s="3">
        <v>0</v>
      </c>
    </row>
    <row r="1040" spans="1:16" x14ac:dyDescent="0.3">
      <c r="A1040" s="2" t="s">
        <v>3754</v>
      </c>
      <c r="B1040" s="2" t="s">
        <v>3755</v>
      </c>
      <c r="C1040" s="2" t="s">
        <v>18</v>
      </c>
      <c r="D1040" s="5">
        <v>0</v>
      </c>
      <c r="E1040" s="5">
        <v>0</v>
      </c>
      <c r="F1040" s="2" t="s">
        <v>3756</v>
      </c>
      <c r="G1040" s="2" t="s">
        <v>28</v>
      </c>
      <c r="H1040" s="2" t="s">
        <v>29</v>
      </c>
      <c r="I1040" s="2" t="s">
        <v>30</v>
      </c>
      <c r="J1040" s="2" t="s">
        <v>3757</v>
      </c>
      <c r="K1040" s="2" t="s">
        <v>22</v>
      </c>
      <c r="L1040" s="2" t="s">
        <v>39</v>
      </c>
      <c r="M1040" s="3">
        <v>1</v>
      </c>
      <c r="N1040" s="3">
        <v>1</v>
      </c>
      <c r="O1040" s="9" t="s">
        <v>24</v>
      </c>
      <c r="P1040" s="3">
        <v>0</v>
      </c>
    </row>
    <row r="1041" spans="1:16" x14ac:dyDescent="0.3">
      <c r="A1041" s="2" t="s">
        <v>3758</v>
      </c>
      <c r="B1041" s="2" t="s">
        <v>3759</v>
      </c>
      <c r="C1041" s="2" t="s">
        <v>18</v>
      </c>
      <c r="D1041" s="5">
        <v>0</v>
      </c>
      <c r="E1041" s="5">
        <v>0</v>
      </c>
      <c r="F1041" s="2" t="s">
        <v>1768</v>
      </c>
      <c r="G1041" s="2" t="s">
        <v>28</v>
      </c>
      <c r="H1041" s="2" t="s">
        <v>29</v>
      </c>
      <c r="I1041" s="2" t="s">
        <v>30</v>
      </c>
      <c r="J1041" s="2" t="s">
        <v>3760</v>
      </c>
      <c r="K1041" s="2" t="s">
        <v>22</v>
      </c>
      <c r="L1041" s="2" t="s">
        <v>32</v>
      </c>
      <c r="M1041" s="3">
        <v>0</v>
      </c>
      <c r="N1041" s="3">
        <v>0</v>
      </c>
      <c r="O1041" s="9" t="s">
        <v>24</v>
      </c>
      <c r="P1041" s="3">
        <v>0</v>
      </c>
    </row>
    <row r="1042" spans="1:16" x14ac:dyDescent="0.3">
      <c r="A1042" s="6" t="s">
        <v>3761</v>
      </c>
      <c r="B1042" s="6" t="s">
        <v>3762</v>
      </c>
      <c r="C1042" s="2" t="s">
        <v>18</v>
      </c>
      <c r="D1042" s="6">
        <v>41.283870299999997</v>
      </c>
      <c r="E1042" s="6">
        <v>36.333742700000002</v>
      </c>
      <c r="G1042" s="7" t="s">
        <v>1031</v>
      </c>
      <c r="H1042" s="7" t="s">
        <v>1031</v>
      </c>
      <c r="I1042" s="7" t="s">
        <v>1031</v>
      </c>
      <c r="J1042" t="str">
        <f>VLOOKUP(A:A,[1]Sayfa1!$G:$K,5,0)</f>
        <v>_ HÜRRİYET MAH. İSMETPAŞA CAD. NO:26/A-B SAMSUN(MERKEZ) SAMSUN</v>
      </c>
      <c r="K1042" t="str">
        <f>VLOOKUP(A:A,[1]Sayfa1!$G:$M,7,0)</f>
        <v>SAMSUN</v>
      </c>
      <c r="L1042" t="str">
        <f>VLOOKUP(A:A,[1]Sayfa1!$G:$L,6,0)</f>
        <v>SAMSUN(MERKEZ)</v>
      </c>
      <c r="M1042" s="3">
        <v>1</v>
      </c>
      <c r="N1042" s="3">
        <v>1</v>
      </c>
      <c r="O1042" s="10">
        <v>0</v>
      </c>
      <c r="P1042" s="3">
        <v>0</v>
      </c>
    </row>
    <row r="1043" spans="1:16" x14ac:dyDescent="0.3">
      <c r="A1043" s="6" t="s">
        <v>3763</v>
      </c>
      <c r="B1043" s="6" t="s">
        <v>3764</v>
      </c>
      <c r="C1043" s="2" t="s">
        <v>18</v>
      </c>
      <c r="D1043" s="6">
        <v>41.276390300000003</v>
      </c>
      <c r="E1043" s="6">
        <v>36.330700499999999</v>
      </c>
      <c r="G1043" s="7" t="s">
        <v>1031</v>
      </c>
      <c r="H1043" s="7" t="s">
        <v>1031</v>
      </c>
      <c r="I1043" s="7" t="s">
        <v>1031</v>
      </c>
      <c r="J1043" t="str">
        <f>VLOOKUP(A:A,[1]Sayfa1!$G:$K,5,0)</f>
        <v>GAZi ETEM PASA BULVARI NO:33 HASTANEBASI SAMSUN(MERKEZ) SAMSUN</v>
      </c>
      <c r="K1043" t="str">
        <f>VLOOKUP(A:A,[1]Sayfa1!$G:$M,7,0)</f>
        <v>SAMSUN</v>
      </c>
      <c r="L1043" t="str">
        <f>VLOOKUP(A:A,[1]Sayfa1!$G:$L,6,0)</f>
        <v>SAMSUN(MERKEZ)</v>
      </c>
      <c r="M1043" s="3">
        <v>1</v>
      </c>
      <c r="N1043" s="3">
        <v>1</v>
      </c>
      <c r="O1043" s="10">
        <v>0</v>
      </c>
      <c r="P1043" s="3">
        <v>0</v>
      </c>
    </row>
    <row r="1044" spans="1:16" x14ac:dyDescent="0.3">
      <c r="A1044" s="6" t="s">
        <v>3765</v>
      </c>
      <c r="B1044" s="6" t="s">
        <v>3766</v>
      </c>
      <c r="C1044" s="2" t="s">
        <v>18</v>
      </c>
      <c r="D1044" s="6">
        <v>41.280312299999999</v>
      </c>
      <c r="E1044" s="6">
        <v>36.3361497</v>
      </c>
      <c r="G1044" s="7" t="s">
        <v>1031</v>
      </c>
      <c r="H1044" s="7" t="s">
        <v>1031</v>
      </c>
      <c r="I1044" s="7" t="s">
        <v>1031</v>
      </c>
      <c r="J1044" t="str">
        <f>VLOOKUP(A:A,[1]Sayfa1!$G:$K,5,0)</f>
        <v>ÇiFTLiK MH.100.YIL BULVARI.NO:235</v>
      </c>
      <c r="K1044" t="str">
        <f>VLOOKUP(A:A,[1]Sayfa1!$G:$M,7,0)</f>
        <v>SAMSUN</v>
      </c>
      <c r="L1044" t="str">
        <f>VLOOKUP(A:A,[1]Sayfa1!$G:$L,6,0)</f>
        <v>SAMSUN(MERKEZ)</v>
      </c>
      <c r="M1044" s="3">
        <v>1</v>
      </c>
      <c r="N1044" s="3">
        <v>1</v>
      </c>
      <c r="O1044" s="10">
        <v>0</v>
      </c>
      <c r="P1044" s="3">
        <v>0</v>
      </c>
    </row>
    <row r="1045" spans="1:16" x14ac:dyDescent="0.3">
      <c r="A1045" s="6" t="s">
        <v>3767</v>
      </c>
      <c r="B1045" s="6" t="s">
        <v>3768</v>
      </c>
      <c r="C1045" s="2" t="s">
        <v>18</v>
      </c>
      <c r="D1045" s="6">
        <v>41.297057799999997</v>
      </c>
      <c r="E1045" s="6">
        <v>36.327418000000002</v>
      </c>
      <c r="G1045" s="7" t="s">
        <v>1031</v>
      </c>
      <c r="H1045" s="7" t="s">
        <v>1031</v>
      </c>
      <c r="I1045" s="7" t="s">
        <v>1031</v>
      </c>
      <c r="J1045" t="str">
        <f>VLOOKUP(A:A,[1]Sayfa1!$G:$K,5,0)</f>
        <v>SELAHİYE MAH ESKİ POSTANE SOK. NO:43 ILKADIM SAMSUN</v>
      </c>
      <c r="K1045" t="str">
        <f>VLOOKUP(A:A,[1]Sayfa1!$G:$M,7,0)</f>
        <v>SAMSUN</v>
      </c>
      <c r="L1045" t="str">
        <f>VLOOKUP(A:A,[1]Sayfa1!$G:$L,6,0)</f>
        <v>ILKADIM</v>
      </c>
      <c r="M1045" s="3">
        <v>1</v>
      </c>
      <c r="N1045" s="3">
        <v>1</v>
      </c>
      <c r="O1045" s="10">
        <v>0</v>
      </c>
      <c r="P1045" s="3">
        <v>0</v>
      </c>
    </row>
    <row r="1046" spans="1:16" x14ac:dyDescent="0.3">
      <c r="A1046" s="6" t="s">
        <v>3769</v>
      </c>
      <c r="B1046" s="6" t="s">
        <v>3770</v>
      </c>
      <c r="C1046" s="2" t="s">
        <v>18</v>
      </c>
      <c r="D1046" s="6">
        <v>41.278993999999997</v>
      </c>
      <c r="E1046" s="6">
        <v>36.328601999999997</v>
      </c>
      <c r="G1046" s="7" t="s">
        <v>1031</v>
      </c>
      <c r="H1046" s="7" t="s">
        <v>1031</v>
      </c>
      <c r="I1046" s="7" t="s">
        <v>1031</v>
      </c>
      <c r="J1046" t="str">
        <f>VLOOKUP(A:A,[1]Sayfa1!$G:$K,5,0)</f>
        <v>YENİDOGAN MH. AKAGÜNDÜZ CD. NO:27 İLKADIM</v>
      </c>
      <c r="K1046" t="str">
        <f>VLOOKUP(A:A,[1]Sayfa1!$G:$M,7,0)</f>
        <v>SAMSUN</v>
      </c>
      <c r="L1046" t="str">
        <f>VLOOKUP(A:A,[1]Sayfa1!$G:$L,6,0)</f>
        <v>ILKADIM</v>
      </c>
      <c r="M1046" s="3">
        <v>1</v>
      </c>
      <c r="N1046" s="3">
        <v>1</v>
      </c>
      <c r="O1046" s="10">
        <v>0</v>
      </c>
      <c r="P1046" s="3">
        <v>0</v>
      </c>
    </row>
    <row r="1047" spans="1:16" x14ac:dyDescent="0.3">
      <c r="A1047" s="6" t="s">
        <v>3771</v>
      </c>
      <c r="B1047" s="6" t="s">
        <v>3772</v>
      </c>
      <c r="C1047" s="2" t="s">
        <v>18</v>
      </c>
      <c r="D1047" s="6">
        <v>41.272054699999998</v>
      </c>
      <c r="E1047" s="6">
        <v>36.342437599999997</v>
      </c>
      <c r="G1047" s="7" t="s">
        <v>1031</v>
      </c>
      <c r="H1047" s="7" t="s">
        <v>1031</v>
      </c>
      <c r="I1047" s="7" t="s">
        <v>1031</v>
      </c>
      <c r="J1047" t="str">
        <f>VLOOKUP(A:A,[1]Sayfa1!$G:$K,5,0)</f>
        <v>ADALET MAH.KARADENİZ CD. NO:33 İLKADIM</v>
      </c>
      <c r="K1047" t="str">
        <f>VLOOKUP(A:A,[1]Sayfa1!$G:$M,7,0)</f>
        <v>SAMSUN</v>
      </c>
      <c r="L1047" t="str">
        <f>VLOOKUP(A:A,[1]Sayfa1!$G:$L,6,0)</f>
        <v>ILKADIM</v>
      </c>
      <c r="M1047" s="3">
        <v>1</v>
      </c>
      <c r="N1047" s="3">
        <v>1</v>
      </c>
      <c r="O1047" s="10">
        <v>0</v>
      </c>
      <c r="P1047" s="3">
        <v>0</v>
      </c>
    </row>
    <row r="1048" spans="1:16" x14ac:dyDescent="0.3">
      <c r="A1048" s="6" t="s">
        <v>3773</v>
      </c>
      <c r="B1048" s="6" t="s">
        <v>3774</v>
      </c>
      <c r="C1048" s="2" t="s">
        <v>18</v>
      </c>
      <c r="D1048" s="6">
        <v>41.271201300000001</v>
      </c>
      <c r="E1048" s="6">
        <v>36.326573400000001</v>
      </c>
      <c r="G1048" s="7" t="s">
        <v>1031</v>
      </c>
      <c r="H1048" s="7" t="s">
        <v>1031</v>
      </c>
      <c r="I1048" s="7" t="s">
        <v>1031</v>
      </c>
      <c r="J1048" t="str">
        <f>VLOOKUP(A:A,[1]Sayfa1!$G:$K,5,0)</f>
        <v>FEVZİ ÇAKMAK MAH. GAZİ ETHEM PAŞA BUL. NO:113 İLKADIM SAMSUN(MERKEZ) SAMSUN</v>
      </c>
      <c r="K1048" t="str">
        <f>VLOOKUP(A:A,[1]Sayfa1!$G:$M,7,0)</f>
        <v>SAMSUN</v>
      </c>
      <c r="L1048" t="str">
        <f>VLOOKUP(A:A,[1]Sayfa1!$G:$L,6,0)</f>
        <v>ILKADIM</v>
      </c>
      <c r="M1048" s="3">
        <v>1</v>
      </c>
      <c r="N1048" s="3">
        <v>1</v>
      </c>
      <c r="O1048" s="10">
        <v>0</v>
      </c>
      <c r="P1048" s="3">
        <v>0</v>
      </c>
    </row>
    <row r="1049" spans="1:16" x14ac:dyDescent="0.3">
      <c r="A1049" s="6" t="s">
        <v>3775</v>
      </c>
      <c r="B1049" s="6" t="s">
        <v>3776</v>
      </c>
      <c r="C1049" s="2" t="s">
        <v>18</v>
      </c>
      <c r="D1049" s="6">
        <v>41.271866600000003</v>
      </c>
      <c r="E1049" s="6">
        <v>36.316130399999999</v>
      </c>
      <c r="G1049" s="7" t="s">
        <v>1031</v>
      </c>
      <c r="H1049" s="7" t="s">
        <v>1031</v>
      </c>
      <c r="I1049" s="7" t="s">
        <v>1031</v>
      </c>
      <c r="J1049" t="str">
        <f>VLOOKUP(A:A,[1]Sayfa1!$G:$K,5,0)</f>
        <v>Kışla Mah. Uzun Mehmet Sok. NO:8/21 İlkadım</v>
      </c>
      <c r="K1049" t="str">
        <f>VLOOKUP(A:A,[1]Sayfa1!$G:$M,7,0)</f>
        <v>SAMSUN</v>
      </c>
      <c r="L1049" t="str">
        <f>VLOOKUP(A:A,[1]Sayfa1!$G:$L,6,0)</f>
        <v>SAMSUN(MERKEZ)</v>
      </c>
      <c r="M1049" s="3">
        <v>1</v>
      </c>
      <c r="N1049" s="3">
        <v>1</v>
      </c>
      <c r="O1049" s="10">
        <v>0</v>
      </c>
      <c r="P1049" s="3">
        <v>0</v>
      </c>
    </row>
    <row r="1050" spans="1:16" x14ac:dyDescent="0.3">
      <c r="A1050" s="6" t="s">
        <v>3777</v>
      </c>
      <c r="B1050" s="6" t="s">
        <v>3778</v>
      </c>
      <c r="C1050" s="2" t="s">
        <v>18</v>
      </c>
      <c r="D1050" s="6">
        <v>41.3040442</v>
      </c>
      <c r="E1050" s="6">
        <v>36.328229499999999</v>
      </c>
      <c r="G1050" s="7" t="s">
        <v>1031</v>
      </c>
      <c r="H1050" s="7" t="s">
        <v>1031</v>
      </c>
      <c r="I1050" s="7" t="s">
        <v>1031</v>
      </c>
      <c r="J1050" t="str">
        <f>VLOOKUP(A:A,[1]Sayfa1!$G:$K,5,0)</f>
        <v>LİMAN MAH. ÖĞRETMENLER CAD. NO:25/3 ILKADIM SAMSUN</v>
      </c>
      <c r="K1050" t="str">
        <f>VLOOKUP(A:A,[1]Sayfa1!$G:$M,7,0)</f>
        <v>SAMSUN</v>
      </c>
      <c r="L1050" t="str">
        <f>VLOOKUP(A:A,[1]Sayfa1!$G:$L,6,0)</f>
        <v>ILKADIM</v>
      </c>
      <c r="M1050" s="3">
        <v>1</v>
      </c>
      <c r="N1050" s="3">
        <v>1</v>
      </c>
      <c r="O1050" s="10">
        <v>0</v>
      </c>
      <c r="P1050" s="3">
        <v>0</v>
      </c>
    </row>
    <row r="1051" spans="1:16" x14ac:dyDescent="0.3">
      <c r="A1051" s="6" t="s">
        <v>3779</v>
      </c>
      <c r="B1051" s="6" t="s">
        <v>3780</v>
      </c>
      <c r="C1051" s="2" t="s">
        <v>18</v>
      </c>
      <c r="D1051" s="6">
        <v>41.2785461</v>
      </c>
      <c r="E1051" s="6">
        <v>36.319749899999998</v>
      </c>
      <c r="G1051" s="7" t="s">
        <v>1031</v>
      </c>
      <c r="H1051" s="7" t="s">
        <v>1031</v>
      </c>
      <c r="I1051" s="7" t="s">
        <v>1031</v>
      </c>
      <c r="J1051" t="str">
        <f>VLOOKUP(A:A,[1]Sayfa1!$G:$K,5,0)</f>
        <v>İLYASKÖY MAH. AZİZİYE CAD. NO:223/1 ILKADIM SAMSUN</v>
      </c>
      <c r="K1051" t="str">
        <f>VLOOKUP(A:A,[1]Sayfa1!$G:$M,7,0)</f>
        <v>SAMSUN</v>
      </c>
      <c r="L1051" t="str">
        <f>VLOOKUP(A:A,[1]Sayfa1!$G:$L,6,0)</f>
        <v>ILKADIM</v>
      </c>
      <c r="M1051" s="3">
        <v>1</v>
      </c>
      <c r="N1051" s="3">
        <v>1</v>
      </c>
      <c r="O1051" s="10">
        <v>0</v>
      </c>
      <c r="P1051" s="3">
        <v>0</v>
      </c>
    </row>
    <row r="1052" spans="1:16" x14ac:dyDescent="0.3">
      <c r="A1052" s="6" t="s">
        <v>3781</v>
      </c>
      <c r="B1052" s="6" t="s">
        <v>3782</v>
      </c>
      <c r="C1052" s="2" t="s">
        <v>18</v>
      </c>
      <c r="D1052" s="6">
        <v>41.282854</v>
      </c>
      <c r="E1052" s="6">
        <v>36.306610499999998</v>
      </c>
      <c r="G1052" s="7" t="s">
        <v>1031</v>
      </c>
      <c r="H1052" s="7" t="s">
        <v>1031</v>
      </c>
      <c r="I1052" s="7" t="s">
        <v>1031</v>
      </c>
      <c r="J1052" t="str">
        <f>VLOOKUP(A:A,[1]Sayfa1!$G:$K,5,0)</f>
        <v>KIRAN MAH. BARIŞ BUL. NO:32/1 ILKADIM SAMSUN</v>
      </c>
      <c r="K1052" t="str">
        <f>VLOOKUP(A:A,[1]Sayfa1!$G:$M,7,0)</f>
        <v>SAMSUN</v>
      </c>
      <c r="L1052" t="str">
        <f>VLOOKUP(A:A,[1]Sayfa1!$G:$L,6,0)</f>
        <v>ILKADIM</v>
      </c>
      <c r="M1052" s="3">
        <v>1</v>
      </c>
      <c r="N1052" s="3">
        <v>1</v>
      </c>
      <c r="O1052" s="10">
        <v>0</v>
      </c>
      <c r="P1052" s="3">
        <v>0</v>
      </c>
    </row>
    <row r="1053" spans="1:16" x14ac:dyDescent="0.3">
      <c r="A1053" s="6" t="s">
        <v>3783</v>
      </c>
      <c r="B1053" s="6" t="s">
        <v>3784</v>
      </c>
      <c r="C1053" s="2" t="s">
        <v>18</v>
      </c>
      <c r="D1053" s="6">
        <v>41.271713900000002</v>
      </c>
      <c r="E1053" s="6">
        <v>36.323717299999998</v>
      </c>
      <c r="G1053" s="7" t="s">
        <v>1031</v>
      </c>
      <c r="H1053" s="7" t="s">
        <v>1031</v>
      </c>
      <c r="I1053" s="7" t="s">
        <v>1031</v>
      </c>
      <c r="J1053" t="str">
        <f>VLOOKUP(A:A,[1]Sayfa1!$G:$K,5,0)</f>
        <v>YAŞARDOĞU MAH. İSTANBUL CAD. NO:28/3 ILKADIM SAMSUN</v>
      </c>
      <c r="K1053" t="str">
        <f>VLOOKUP(A:A,[1]Sayfa1!$G:$M,7,0)</f>
        <v>SAMSUN</v>
      </c>
      <c r="L1053" t="str">
        <f>VLOOKUP(A:A,[1]Sayfa1!$G:$L,6,0)</f>
        <v>ILKADIM</v>
      </c>
      <c r="M1053" s="3">
        <v>1</v>
      </c>
      <c r="N1053" s="3">
        <v>1</v>
      </c>
      <c r="O1053" s="10">
        <v>0</v>
      </c>
      <c r="P1053" s="3">
        <v>0</v>
      </c>
    </row>
    <row r="1054" spans="1:16" x14ac:dyDescent="0.3">
      <c r="A1054" s="6" t="s">
        <v>3785</v>
      </c>
      <c r="B1054" s="6" t="s">
        <v>3786</v>
      </c>
      <c r="C1054" s="2" t="s">
        <v>18</v>
      </c>
      <c r="D1054" s="6">
        <v>41.279234899999999</v>
      </c>
      <c r="E1054" s="6">
        <v>36.340204499999999</v>
      </c>
      <c r="G1054" s="7" t="s">
        <v>1031</v>
      </c>
      <c r="H1054" s="7" t="s">
        <v>1031</v>
      </c>
      <c r="I1054" s="7" t="s">
        <v>1031</v>
      </c>
      <c r="J1054" t="str">
        <f>VLOOKUP(A:A,[1]Sayfa1!$G:$K,5,0)</f>
        <v>BAHÇELİEVLER MAH. ÖZTUNA SOK. NO:7/3 ILKADIM SAMSUN</v>
      </c>
      <c r="K1054" t="str">
        <f>VLOOKUP(A:A,[1]Sayfa1!$G:$M,7,0)</f>
        <v>SAMSUN</v>
      </c>
      <c r="L1054" t="str">
        <f>VLOOKUP(A:A,[1]Sayfa1!$G:$L,6,0)</f>
        <v>ILKADIM</v>
      </c>
      <c r="M1054" s="3">
        <v>1</v>
      </c>
      <c r="N1054" s="3">
        <v>1</v>
      </c>
      <c r="O1054" s="10">
        <v>0</v>
      </c>
      <c r="P1054" s="3">
        <v>0</v>
      </c>
    </row>
    <row r="1055" spans="1:16" x14ac:dyDescent="0.3">
      <c r="A1055" s="6" t="s">
        <v>3787</v>
      </c>
      <c r="B1055" s="6" t="s">
        <v>3788</v>
      </c>
      <c r="C1055" s="2" t="s">
        <v>18</v>
      </c>
      <c r="D1055" s="6">
        <v>41.283005799999998</v>
      </c>
      <c r="E1055" s="6">
        <v>36.331126599999997</v>
      </c>
      <c r="G1055" s="7" t="s">
        <v>1031</v>
      </c>
      <c r="H1055" s="7" t="s">
        <v>1031</v>
      </c>
      <c r="I1055" s="7" t="s">
        <v>1031</v>
      </c>
      <c r="J1055" t="str">
        <f>VLOOKUP(A:A,[1]Sayfa1!$G:$K,5,0)</f>
        <v>RASATHANE MAH. KURTULUŞ SOK. NO:24 ILKADIM SAMSUN</v>
      </c>
      <c r="K1055" t="str">
        <f>VLOOKUP(A:A,[1]Sayfa1!$G:$M,7,0)</f>
        <v>SAMSUN</v>
      </c>
      <c r="L1055" t="str">
        <f>VLOOKUP(A:A,[1]Sayfa1!$G:$L,6,0)</f>
        <v>ILKADIM</v>
      </c>
      <c r="M1055" s="3">
        <v>1</v>
      </c>
      <c r="N1055" s="3">
        <v>1</v>
      </c>
      <c r="O1055" s="10">
        <v>0</v>
      </c>
      <c r="P1055" s="3">
        <v>0</v>
      </c>
    </row>
    <row r="1056" spans="1:16" x14ac:dyDescent="0.3">
      <c r="A1056" s="6" t="s">
        <v>3789</v>
      </c>
      <c r="B1056" s="6" t="s">
        <v>3790</v>
      </c>
      <c r="C1056" s="2" t="s">
        <v>18</v>
      </c>
      <c r="D1056" s="6">
        <v>41.299403499999997</v>
      </c>
      <c r="E1056" s="6">
        <v>36.329951399999999</v>
      </c>
      <c r="G1056" s="7" t="s">
        <v>1031</v>
      </c>
      <c r="H1056" s="7" t="s">
        <v>1031</v>
      </c>
      <c r="I1056" s="7" t="s">
        <v>1031</v>
      </c>
      <c r="J1056" t="str">
        <f>VLOOKUP(A:A,[1]Sayfa1!$G:$K,5,0)</f>
        <v>HANÇERLİ MAH. NECATİ EFENDİ SOK. NO:111/1 ILKADIM SAMSUN</v>
      </c>
      <c r="K1056" t="str">
        <f>VLOOKUP(A:A,[1]Sayfa1!$G:$M,7,0)</f>
        <v>SAMSUN</v>
      </c>
      <c r="L1056" t="str">
        <f>VLOOKUP(A:A,[1]Sayfa1!$G:$L,6,0)</f>
        <v>ILKADIM</v>
      </c>
      <c r="M1056" s="3">
        <v>1</v>
      </c>
      <c r="N1056" s="3">
        <v>1</v>
      </c>
      <c r="O1056" s="10">
        <v>0</v>
      </c>
      <c r="P1056" s="3">
        <v>0</v>
      </c>
    </row>
    <row r="1057" spans="1:16" x14ac:dyDescent="0.3">
      <c r="A1057" s="6" t="s">
        <v>3791</v>
      </c>
      <c r="B1057" s="6" t="s">
        <v>3792</v>
      </c>
      <c r="C1057" s="2" t="s">
        <v>18</v>
      </c>
      <c r="D1057" s="6">
        <v>41.262730300000001</v>
      </c>
      <c r="E1057" s="6">
        <v>36.320720600000001</v>
      </c>
      <c r="G1057" s="7" t="s">
        <v>1031</v>
      </c>
      <c r="H1057" s="7" t="s">
        <v>1031</v>
      </c>
      <c r="I1057" s="7" t="s">
        <v>1031</v>
      </c>
      <c r="J1057" t="str">
        <f>VLOOKUP(A:A,[1]Sayfa1!$G:$K,5,0)</f>
        <v>KIŞLA MAH. POLATLI BUL. NO:29/1 ILKADIM SAMSUN</v>
      </c>
      <c r="K1057" t="str">
        <f>VLOOKUP(A:A,[1]Sayfa1!$G:$M,7,0)</f>
        <v>SAMSUN</v>
      </c>
      <c r="L1057" t="str">
        <f>VLOOKUP(A:A,[1]Sayfa1!$G:$L,6,0)</f>
        <v>ILKADIM</v>
      </c>
      <c r="M1057" s="3">
        <v>1</v>
      </c>
      <c r="N1057" s="3">
        <v>1</v>
      </c>
      <c r="O1057" s="10">
        <v>0</v>
      </c>
      <c r="P1057" s="3">
        <v>0</v>
      </c>
    </row>
    <row r="1058" spans="1:16" x14ac:dyDescent="0.3">
      <c r="A1058" s="6" t="s">
        <v>3793</v>
      </c>
      <c r="B1058" s="6" t="s">
        <v>3794</v>
      </c>
      <c r="C1058" s="2" t="s">
        <v>18</v>
      </c>
      <c r="D1058" s="6">
        <v>41.286851200000001</v>
      </c>
      <c r="E1058" s="6">
        <v>36.334060200000003</v>
      </c>
      <c r="G1058" s="7" t="s">
        <v>1031</v>
      </c>
      <c r="H1058" s="7" t="s">
        <v>1031</v>
      </c>
      <c r="I1058" s="7" t="s">
        <v>1031</v>
      </c>
      <c r="J1058" t="str">
        <f>VLOOKUP(A:A,[1]Sayfa1!$G:$K,5,0)</f>
        <v>_ 19 MAYIS MAH. 1 B SOK. NO:1/D SAMSUN(MERKEZ) SAMSUN</v>
      </c>
      <c r="K1058" t="str">
        <f>VLOOKUP(A:A,[1]Sayfa1!$G:$M,7,0)</f>
        <v>SAMSUN</v>
      </c>
      <c r="L1058" t="str">
        <f>VLOOKUP(A:A,[1]Sayfa1!$G:$L,6,0)</f>
        <v>SAMSUN(MERKEZ)</v>
      </c>
      <c r="M1058" s="3">
        <v>1</v>
      </c>
      <c r="N1058" s="3">
        <v>1</v>
      </c>
      <c r="O1058" s="10">
        <v>0</v>
      </c>
      <c r="P1058" s="3">
        <v>0</v>
      </c>
    </row>
    <row r="1059" spans="1:16" x14ac:dyDescent="0.3">
      <c r="A1059" s="6" t="s">
        <v>3795</v>
      </c>
      <c r="B1059" s="6" t="s">
        <v>3796</v>
      </c>
      <c r="C1059" s="2" t="s">
        <v>18</v>
      </c>
      <c r="D1059" s="6">
        <v>41.285194400000002</v>
      </c>
      <c r="E1059" s="6">
        <v>36.341620900000002</v>
      </c>
      <c r="G1059" s="7" t="s">
        <v>1031</v>
      </c>
      <c r="H1059" s="7" t="s">
        <v>1031</v>
      </c>
      <c r="I1059" s="7" t="s">
        <v>1031</v>
      </c>
      <c r="J1059" t="str">
        <f>VLOOKUP(A:A,[1]Sayfa1!$G:$K,5,0)</f>
        <v>KILIÇDEDE MAH. CUMHURIYET CAD. NO:59/A SAMSUN(MERKEZ) SAMSUN</v>
      </c>
      <c r="K1059" t="str">
        <f>VLOOKUP(A:A,[1]Sayfa1!$G:$M,7,0)</f>
        <v>SAMSUN</v>
      </c>
      <c r="L1059" t="str">
        <f>VLOOKUP(A:A,[1]Sayfa1!$G:$L,6,0)</f>
        <v>SAMSUN(MERKEZ)</v>
      </c>
      <c r="M1059" s="3">
        <v>1</v>
      </c>
      <c r="N1059" s="3">
        <v>1</v>
      </c>
      <c r="O1059" s="10">
        <v>0</v>
      </c>
      <c r="P1059" s="3">
        <v>0</v>
      </c>
    </row>
    <row r="1060" spans="1:16" x14ac:dyDescent="0.3">
      <c r="A1060" s="6" t="s">
        <v>3797</v>
      </c>
      <c r="B1060" s="6" t="s">
        <v>3798</v>
      </c>
      <c r="C1060" s="2" t="s">
        <v>18</v>
      </c>
      <c r="D1060" s="6">
        <v>41.278443799999998</v>
      </c>
      <c r="E1060" s="6">
        <v>36.345795299999999</v>
      </c>
      <c r="G1060" s="7" t="s">
        <v>1031</v>
      </c>
      <c r="H1060" s="7" t="s">
        <v>1031</v>
      </c>
      <c r="I1060" s="7" t="s">
        <v>1031</v>
      </c>
      <c r="J1060" t="str">
        <f>VLOOKUP(A:A,[1]Sayfa1!$G:$K,5,0)</f>
        <v>KILIÇDEDE MAH. M.ÖZKEFELI BLV. NO:30/A-B SAMSUN(MERKEZ) SAMSUN</v>
      </c>
      <c r="K1060" t="str">
        <f>VLOOKUP(A:A,[1]Sayfa1!$G:$M,7,0)</f>
        <v>SAMSUN</v>
      </c>
      <c r="L1060" t="str">
        <f>VLOOKUP(A:A,[1]Sayfa1!$G:$L,6,0)</f>
        <v>SAMSUN(MERKEZ)</v>
      </c>
      <c r="M1060" s="3">
        <v>1</v>
      </c>
      <c r="N1060" s="3">
        <v>1</v>
      </c>
      <c r="O1060" s="10">
        <v>0</v>
      </c>
      <c r="P1060" s="3">
        <v>0</v>
      </c>
    </row>
    <row r="1061" spans="1:16" x14ac:dyDescent="0.3">
      <c r="A1061" s="6" t="s">
        <v>3799</v>
      </c>
      <c r="B1061" s="6" t="s">
        <v>3800</v>
      </c>
      <c r="C1061" s="2" t="s">
        <v>18</v>
      </c>
      <c r="D1061" s="6">
        <v>41.274780999999997</v>
      </c>
      <c r="E1061" s="6">
        <v>36.346128</v>
      </c>
      <c r="G1061" s="7" t="s">
        <v>1031</v>
      </c>
      <c r="H1061" s="7" t="s">
        <v>1031</v>
      </c>
      <c r="I1061" s="7" t="s">
        <v>1031</v>
      </c>
      <c r="J1061" t="str">
        <f>VLOOKUP(A:A,[1]Sayfa1!$G:$K,5,0)</f>
        <v>_ BAHÇELİEVLER MAH. İSTİKLAL CAD. NO:234/A SAMSUN(MERKEZ) SAMSUN</v>
      </c>
      <c r="K1061" t="str">
        <f>VLOOKUP(A:A,[1]Sayfa1!$G:$M,7,0)</f>
        <v>SAMSUN</v>
      </c>
      <c r="L1061" t="str">
        <f>VLOOKUP(A:A,[1]Sayfa1!$G:$L,6,0)</f>
        <v>SAMSUN(MERKEZ)</v>
      </c>
      <c r="M1061" s="3">
        <v>1</v>
      </c>
      <c r="N1061" s="3">
        <v>1</v>
      </c>
      <c r="O1061" s="10">
        <v>0</v>
      </c>
      <c r="P1061" s="3">
        <v>0</v>
      </c>
    </row>
    <row r="1062" spans="1:16" x14ac:dyDescent="0.3">
      <c r="A1062" s="6" t="s">
        <v>3801</v>
      </c>
      <c r="B1062" s="6" t="s">
        <v>3802</v>
      </c>
      <c r="C1062" s="2" t="s">
        <v>18</v>
      </c>
      <c r="D1062" s="6">
        <v>41.275984999999999</v>
      </c>
      <c r="E1062" s="6">
        <v>36.324505000000002</v>
      </c>
      <c r="G1062" s="7" t="s">
        <v>1031</v>
      </c>
      <c r="H1062" s="7" t="s">
        <v>1031</v>
      </c>
      <c r="I1062" s="7" t="s">
        <v>1031</v>
      </c>
      <c r="J1062" t="str">
        <f>VLOOKUP(A:A,[1]Sayfa1!$G:$K,5,0)</f>
        <v>YENIDOGAN MAH. AZIZIYE CAD. NO:170 SAMSUN(MERKEZ) SAMSUN</v>
      </c>
      <c r="K1062" t="str">
        <f>VLOOKUP(A:A,[1]Sayfa1!$G:$M,7,0)</f>
        <v>SAMSUN</v>
      </c>
      <c r="L1062" t="str">
        <f>VLOOKUP(A:A,[1]Sayfa1!$G:$L,6,0)</f>
        <v>SAMSUN(MERKEZ)</v>
      </c>
      <c r="M1062" s="3">
        <v>1</v>
      </c>
      <c r="N1062" s="3">
        <v>1</v>
      </c>
      <c r="O1062" s="10">
        <v>0</v>
      </c>
      <c r="P1062" s="3">
        <v>0</v>
      </c>
    </row>
    <row r="1063" spans="1:16" x14ac:dyDescent="0.3">
      <c r="A1063" s="6" t="s">
        <v>3803</v>
      </c>
      <c r="B1063" s="6" t="s">
        <v>3804</v>
      </c>
      <c r="C1063" s="2" t="s">
        <v>18</v>
      </c>
      <c r="D1063" s="6">
        <v>41.283207099999998</v>
      </c>
      <c r="E1063" s="6">
        <v>36.327201199999998</v>
      </c>
      <c r="G1063" s="7" t="s">
        <v>1031</v>
      </c>
      <c r="H1063" s="7" t="s">
        <v>1031</v>
      </c>
      <c r="I1063" s="7" t="s">
        <v>1031</v>
      </c>
      <c r="J1063" t="str">
        <f>VLOOKUP(A:A,[1]Sayfa1!$G:$K,5,0)</f>
        <v>RESADIYE MAH. AGABALI CAD. NO:128/B SAMSUN(MERKEZ) SAMSUN</v>
      </c>
      <c r="K1063" t="str">
        <f>VLOOKUP(A:A,[1]Sayfa1!$G:$M,7,0)</f>
        <v>SAMSUN</v>
      </c>
      <c r="L1063" t="str">
        <f>VLOOKUP(A:A,[1]Sayfa1!$G:$L,6,0)</f>
        <v>SAMSUN(MERKEZ)</v>
      </c>
      <c r="M1063" s="3">
        <v>1</v>
      </c>
      <c r="N1063" s="3">
        <v>1</v>
      </c>
      <c r="O1063" s="10">
        <v>0</v>
      </c>
      <c r="P1063" s="3">
        <v>0</v>
      </c>
    </row>
    <row r="1064" spans="1:16" x14ac:dyDescent="0.3">
      <c r="A1064" s="6" t="s">
        <v>3805</v>
      </c>
      <c r="B1064" s="6" t="s">
        <v>3806</v>
      </c>
      <c r="C1064" s="2" t="s">
        <v>18</v>
      </c>
      <c r="D1064" s="6">
        <v>41.287126899999997</v>
      </c>
      <c r="E1064" s="6">
        <v>36.329866500000001</v>
      </c>
      <c r="G1064" s="7" t="s">
        <v>1031</v>
      </c>
      <c r="H1064" s="7" t="s">
        <v>1031</v>
      </c>
      <c r="I1064" s="7" t="s">
        <v>1031</v>
      </c>
      <c r="J1064" t="str">
        <f>VLOOKUP(A:A,[1]Sayfa1!$G:$K,5,0)</f>
        <v>ULUGAZI MAH. 100. YIL BLV. NO:141 ALAÇAM SAMSUN</v>
      </c>
      <c r="K1064" t="str">
        <f>VLOOKUP(A:A,[1]Sayfa1!$G:$M,7,0)</f>
        <v>SAMSUN</v>
      </c>
      <c r="L1064" t="str">
        <f>VLOOKUP(A:A,[1]Sayfa1!$G:$L,6,0)</f>
        <v>ALAÇAM</v>
      </c>
      <c r="M1064" s="3">
        <v>1</v>
      </c>
      <c r="N1064" s="3">
        <v>1</v>
      </c>
      <c r="O1064" s="10">
        <v>0</v>
      </c>
      <c r="P1064" s="3">
        <v>0</v>
      </c>
    </row>
    <row r="1065" spans="1:16" x14ac:dyDescent="0.3">
      <c r="A1065" s="6" t="s">
        <v>3807</v>
      </c>
      <c r="B1065" s="6" t="s">
        <v>3808</v>
      </c>
      <c r="C1065" s="2" t="s">
        <v>18</v>
      </c>
      <c r="D1065" s="6">
        <v>41.295689400000001</v>
      </c>
      <c r="E1065" s="6">
        <v>36.329650899999997</v>
      </c>
      <c r="G1065" s="7" t="s">
        <v>1031</v>
      </c>
      <c r="H1065" s="7" t="s">
        <v>1031</v>
      </c>
      <c r="I1065" s="7" t="s">
        <v>1031</v>
      </c>
      <c r="J1065" t="str">
        <f>VLOOKUP(A:A,[1]Sayfa1!$G:$K,5,0)</f>
        <v>HANÇERLI MAH. ABBASAGA SOK. NO:3/C SAMSUN(MERKEZ) SAMSUN</v>
      </c>
      <c r="K1065" t="str">
        <f>VLOOKUP(A:A,[1]Sayfa1!$G:$M,7,0)</f>
        <v>SAMSUN</v>
      </c>
      <c r="L1065" t="str">
        <f>VLOOKUP(A:A,[1]Sayfa1!$G:$L,6,0)</f>
        <v>SAMSUN(MERKEZ)</v>
      </c>
      <c r="M1065" s="3">
        <v>1</v>
      </c>
      <c r="N1065" s="3">
        <v>1</v>
      </c>
      <c r="O1065" s="10">
        <v>0</v>
      </c>
      <c r="P1065" s="3">
        <v>0</v>
      </c>
    </row>
    <row r="1066" spans="1:16" x14ac:dyDescent="0.3">
      <c r="A1066" s="6" t="s">
        <v>3809</v>
      </c>
      <c r="B1066" s="6" t="s">
        <v>3810</v>
      </c>
      <c r="C1066" s="2" t="s">
        <v>18</v>
      </c>
      <c r="D1066" s="6">
        <v>41.282921000000002</v>
      </c>
      <c r="E1066" s="6">
        <v>36.337045000000003</v>
      </c>
      <c r="G1066" s="7" t="s">
        <v>1031</v>
      </c>
      <c r="H1066" s="7" t="s">
        <v>1031</v>
      </c>
      <c r="I1066" s="7" t="s">
        <v>1031</v>
      </c>
      <c r="J1066" t="str">
        <f>VLOOKUP(A:A,[1]Sayfa1!$G:$K,5,0)</f>
        <v>_ İSTİKLAL CAD. NO:/46-53 SAMSUN(MERKEZ) SAMSUN</v>
      </c>
      <c r="K1066" t="str">
        <f>VLOOKUP(A:A,[1]Sayfa1!$G:$M,7,0)</f>
        <v>SAMSUN</v>
      </c>
      <c r="L1066" t="str">
        <f>VLOOKUP(A:A,[1]Sayfa1!$G:$L,6,0)</f>
        <v>SAMSUN(MERKEZ)</v>
      </c>
      <c r="M1066" s="3">
        <v>1</v>
      </c>
      <c r="N1066" s="3">
        <v>1</v>
      </c>
      <c r="O1066" s="10">
        <v>0</v>
      </c>
      <c r="P1066" s="3">
        <v>0</v>
      </c>
    </row>
    <row r="1067" spans="1:16" x14ac:dyDescent="0.3">
      <c r="A1067" s="6" t="s">
        <v>3811</v>
      </c>
      <c r="B1067" s="6" t="s">
        <v>3812</v>
      </c>
      <c r="C1067" s="2" t="s">
        <v>18</v>
      </c>
      <c r="D1067" s="6">
        <v>41.291024399999998</v>
      </c>
      <c r="E1067" s="6">
        <v>36.319260100000001</v>
      </c>
      <c r="G1067" s="7" t="s">
        <v>1031</v>
      </c>
      <c r="H1067" s="7" t="s">
        <v>1031</v>
      </c>
      <c r="I1067" s="7" t="s">
        <v>1031</v>
      </c>
      <c r="J1067" t="str">
        <f>VLOOKUP(A:A,[1]Sayfa1!$G:$K,5,0)</f>
        <v>_ HASTANE BAŞI MAH. FATİH RÜŞTÜ ZORLU CAD. NO:6/A SAMSUN(MERKEZ) SAMSUN</v>
      </c>
      <c r="K1067" t="str">
        <f>VLOOKUP(A:A,[1]Sayfa1!$G:$M,7,0)</f>
        <v>SAMSUN</v>
      </c>
      <c r="L1067" t="str">
        <f>VLOOKUP(A:A,[1]Sayfa1!$G:$L,6,0)</f>
        <v>SAMSUN(MERKEZ)</v>
      </c>
      <c r="M1067" s="3">
        <v>1</v>
      </c>
      <c r="N1067" s="3">
        <v>1</v>
      </c>
      <c r="O1067" s="10">
        <v>0</v>
      </c>
      <c r="P1067" s="3">
        <v>0</v>
      </c>
    </row>
    <row r="1068" spans="1:16" x14ac:dyDescent="0.3">
      <c r="A1068" s="6" t="s">
        <v>3813</v>
      </c>
      <c r="B1068" s="6" t="s">
        <v>3814</v>
      </c>
      <c r="C1068" s="2" t="s">
        <v>18</v>
      </c>
      <c r="D1068" s="6">
        <v>41.299875100000001</v>
      </c>
      <c r="E1068" s="6">
        <v>36.323616000000001</v>
      </c>
      <c r="G1068" s="7" t="s">
        <v>1031</v>
      </c>
      <c r="H1068" s="7" t="s">
        <v>1031</v>
      </c>
      <c r="I1068" s="7" t="s">
        <v>1031</v>
      </c>
      <c r="J1068" t="str">
        <f>VLOOKUP(A:A,[1]Sayfa1!$G:$K,5,0)</f>
        <v>_ KADİFEKALE MAH. KADİFE SOK. NO:2 SAMSUN(MERKEZ) SAMSUN</v>
      </c>
      <c r="K1068" t="str">
        <f>VLOOKUP(A:A,[1]Sayfa1!$G:$M,7,0)</f>
        <v>SAMSUN</v>
      </c>
      <c r="L1068" t="str">
        <f>VLOOKUP(A:A,[1]Sayfa1!$G:$L,6,0)</f>
        <v>SAMSUN(MERKEZ)</v>
      </c>
      <c r="M1068" s="3">
        <v>1</v>
      </c>
      <c r="N1068" s="3">
        <v>1</v>
      </c>
      <c r="O1068" s="10">
        <v>0</v>
      </c>
      <c r="P1068" s="3">
        <v>0</v>
      </c>
    </row>
    <row r="1069" spans="1:16" x14ac:dyDescent="0.3">
      <c r="A1069" s="6" t="s">
        <v>3815</v>
      </c>
      <c r="B1069" s="6" t="s">
        <v>3816</v>
      </c>
      <c r="C1069" s="2" t="s">
        <v>18</v>
      </c>
      <c r="D1069" s="6">
        <v>41.292809900000002</v>
      </c>
      <c r="E1069" s="6">
        <v>36.330046500000002</v>
      </c>
      <c r="G1069" s="7" t="s">
        <v>1031</v>
      </c>
      <c r="H1069" s="7" t="s">
        <v>1031</v>
      </c>
      <c r="I1069" s="7" t="s">
        <v>1031</v>
      </c>
      <c r="J1069" t="str">
        <f>VLOOKUP(A:A,[1]Sayfa1!$G:$K,5,0)</f>
        <v>_ PAZAR MAH. MÜFTÜ CAD. NO:11/1 SAMSUN(MERKEZ) SAMSUN</v>
      </c>
      <c r="K1069" t="str">
        <f>VLOOKUP(A:A,[1]Sayfa1!$G:$M,7,0)</f>
        <v>SAMSUN</v>
      </c>
      <c r="L1069" t="str">
        <f>VLOOKUP(A:A,[1]Sayfa1!$G:$L,6,0)</f>
        <v>SAMSUN(MERKEZ)</v>
      </c>
      <c r="M1069" s="3">
        <v>1</v>
      </c>
      <c r="N1069" s="3">
        <v>1</v>
      </c>
      <c r="O1069" s="10">
        <v>0</v>
      </c>
      <c r="P1069" s="3">
        <v>0</v>
      </c>
    </row>
    <row r="1070" spans="1:16" x14ac:dyDescent="0.3">
      <c r="A1070" s="6" t="s">
        <v>3817</v>
      </c>
      <c r="B1070" s="6" t="s">
        <v>3818</v>
      </c>
      <c r="C1070" s="2" t="s">
        <v>18</v>
      </c>
      <c r="D1070" s="6">
        <v>41.286644899999999</v>
      </c>
      <c r="E1070" s="6">
        <v>36.315123</v>
      </c>
      <c r="G1070" s="7" t="s">
        <v>1031</v>
      </c>
      <c r="H1070" s="7" t="s">
        <v>1031</v>
      </c>
      <c r="I1070" s="7" t="s">
        <v>1031</v>
      </c>
      <c r="J1070" t="str">
        <f>VLOOKUP(A:A,[1]Sayfa1!$G:$K,5,0)</f>
        <v>_ ANADOLU MAH. BARIŞ BULV. NO:138 SAMSUN(MERKEZ) SAMSUN</v>
      </c>
      <c r="K1070" t="str">
        <f>VLOOKUP(A:A,[1]Sayfa1!$G:$M,7,0)</f>
        <v>SAMSUN</v>
      </c>
      <c r="L1070" t="str">
        <f>VLOOKUP(A:A,[1]Sayfa1!$G:$L,6,0)</f>
        <v>SAMSUN(MERKEZ)</v>
      </c>
      <c r="M1070" s="3">
        <v>1</v>
      </c>
      <c r="N1070" s="3">
        <v>1</v>
      </c>
      <c r="O1070" s="10">
        <v>0</v>
      </c>
      <c r="P1070" s="3">
        <v>0</v>
      </c>
    </row>
    <row r="1071" spans="1:16" x14ac:dyDescent="0.3">
      <c r="A1071" s="6" t="s">
        <v>3819</v>
      </c>
      <c r="B1071" s="6" t="s">
        <v>3820</v>
      </c>
      <c r="C1071" s="2" t="s">
        <v>18</v>
      </c>
      <c r="D1071" s="6">
        <v>41.275463299999998</v>
      </c>
      <c r="E1071" s="6">
        <v>36.334705</v>
      </c>
      <c r="G1071" s="7" t="s">
        <v>1031</v>
      </c>
      <c r="H1071" s="7" t="s">
        <v>1031</v>
      </c>
      <c r="I1071" s="7" t="s">
        <v>1031</v>
      </c>
      <c r="J1071" t="str">
        <f>VLOOKUP(A:A,[1]Sayfa1!$G:$K,5,0)</f>
        <v>FEVZİ ÇAKMAK MAH. ADALET CAD. NO:2 SAMSUN(MERKEZ) SAMSUN</v>
      </c>
      <c r="K1071" t="str">
        <f>VLOOKUP(A:A,[1]Sayfa1!$G:$M,7,0)</f>
        <v>SAMSUN</v>
      </c>
      <c r="L1071" t="str">
        <f>VLOOKUP(A:A,[1]Sayfa1!$G:$L,6,0)</f>
        <v>SAMSUN(MERKEZ)</v>
      </c>
      <c r="M1071" s="3">
        <v>1</v>
      </c>
      <c r="N1071" s="3">
        <v>1</v>
      </c>
      <c r="O1071" s="10">
        <v>0</v>
      </c>
      <c r="P1071" s="3">
        <v>0</v>
      </c>
    </row>
    <row r="1072" spans="1:16" x14ac:dyDescent="0.3">
      <c r="A1072" s="6" t="s">
        <v>3821</v>
      </c>
      <c r="B1072" s="6" t="s">
        <v>3822</v>
      </c>
      <c r="C1072" s="2" t="s">
        <v>18</v>
      </c>
      <c r="D1072" s="6">
        <v>41.286407799999999</v>
      </c>
      <c r="E1072" s="6">
        <v>36.336702299999999</v>
      </c>
      <c r="G1072" s="7" t="s">
        <v>1031</v>
      </c>
      <c r="H1072" s="7" t="s">
        <v>1031</v>
      </c>
      <c r="I1072" s="7" t="s">
        <v>1031</v>
      </c>
      <c r="J1072" t="str">
        <f>VLOOKUP(A:A,[1]Sayfa1!$G:$K,5,0)</f>
        <v>19 MAYIS MAH. SAADET CAD. NO:28 SAMSUN(MERKEZ) SAMSUN</v>
      </c>
      <c r="K1072" t="str">
        <f>VLOOKUP(A:A,[1]Sayfa1!$G:$M,7,0)</f>
        <v>SAMSUN</v>
      </c>
      <c r="L1072" t="str">
        <f>VLOOKUP(A:A,[1]Sayfa1!$G:$L,6,0)</f>
        <v>SAMSUN(MERKEZ)</v>
      </c>
      <c r="M1072" s="3">
        <v>1</v>
      </c>
      <c r="N1072" s="3">
        <v>1</v>
      </c>
      <c r="O1072" s="10">
        <v>0</v>
      </c>
      <c r="P1072" s="3">
        <v>0</v>
      </c>
    </row>
    <row r="1073" spans="1:16" x14ac:dyDescent="0.3">
      <c r="A1073" s="6" t="s">
        <v>3823</v>
      </c>
      <c r="B1073" s="6" t="s">
        <v>3824</v>
      </c>
      <c r="C1073" s="2" t="s">
        <v>18</v>
      </c>
      <c r="D1073" s="6">
        <v>41.2773866</v>
      </c>
      <c r="E1073" s="6">
        <v>36.3397115</v>
      </c>
      <c r="G1073" s="7" t="s">
        <v>1031</v>
      </c>
      <c r="H1073" s="7" t="s">
        <v>1031</v>
      </c>
      <c r="I1073" s="7" t="s">
        <v>1031</v>
      </c>
      <c r="J1073" t="str">
        <f>VLOOKUP(A:A,[1]Sayfa1!$G:$K,5,0)</f>
        <v>_ ADALET MAH. 100.YIL BULV. NO:242/A SAMSUN(MERKEZ) SAMSUN</v>
      </c>
      <c r="K1073" t="str">
        <f>VLOOKUP(A:A,[1]Sayfa1!$G:$M,7,0)</f>
        <v>SAMSUN</v>
      </c>
      <c r="L1073" t="str">
        <f>VLOOKUP(A:A,[1]Sayfa1!$G:$L,6,0)</f>
        <v>SAMSUN(MERKEZ)</v>
      </c>
      <c r="M1073" s="3">
        <v>1</v>
      </c>
      <c r="N1073" s="3">
        <v>1</v>
      </c>
      <c r="O1073" s="10">
        <v>0</v>
      </c>
      <c r="P1073" s="3">
        <v>0</v>
      </c>
    </row>
    <row r="1074" spans="1:16" x14ac:dyDescent="0.3">
      <c r="A1074" s="6" t="s">
        <v>3825</v>
      </c>
      <c r="B1074" s="6" t="s">
        <v>3826</v>
      </c>
      <c r="C1074" s="2" t="s">
        <v>18</v>
      </c>
      <c r="D1074" s="6">
        <v>41.2857707</v>
      </c>
      <c r="E1074" s="6">
        <v>36.324845600000003</v>
      </c>
      <c r="G1074" s="7" t="s">
        <v>1031</v>
      </c>
      <c r="H1074" s="7" t="s">
        <v>1031</v>
      </c>
      <c r="I1074" s="7" t="s">
        <v>1031</v>
      </c>
      <c r="J1074" t="str">
        <f>VLOOKUP(A:A,[1]Sayfa1!$G:$K,5,0)</f>
        <v>KADIKÖY MH. OSMANİYE CD. NO:100 SAMSUN(MERKEZ) SAMSUN</v>
      </c>
      <c r="K1074" t="str">
        <f>VLOOKUP(A:A,[1]Sayfa1!$G:$M,7,0)</f>
        <v>SAMSUN</v>
      </c>
      <c r="L1074" t="str">
        <f>VLOOKUP(A:A,[1]Sayfa1!$G:$L,6,0)</f>
        <v>SAMSUN(MERKEZ)</v>
      </c>
      <c r="M1074" s="3">
        <v>1</v>
      </c>
      <c r="N1074" s="3">
        <v>1</v>
      </c>
      <c r="O1074" s="10">
        <v>0</v>
      </c>
      <c r="P1074" s="3">
        <v>0</v>
      </c>
    </row>
    <row r="1075" spans="1:16" x14ac:dyDescent="0.3">
      <c r="A1075" s="6" t="s">
        <v>3827</v>
      </c>
      <c r="B1075" s="6" t="s">
        <v>3828</v>
      </c>
      <c r="C1075" s="2" t="s">
        <v>18</v>
      </c>
      <c r="D1075" s="6">
        <v>41.265737700000003</v>
      </c>
      <c r="E1075" s="6">
        <v>36.327865600000003</v>
      </c>
      <c r="G1075" s="7" t="s">
        <v>1031</v>
      </c>
      <c r="H1075" s="7" t="s">
        <v>1031</v>
      </c>
      <c r="I1075" s="7" t="s">
        <v>1031</v>
      </c>
      <c r="J1075" t="str">
        <f>VLOOKUP(A:A,[1]Sayfa1!$G:$K,5,0)</f>
        <v>KAZIM KARABEKİR MH. SİTELER BUL. NO:30 A/B (2 DÜKKAN) ILKADIM SAMSUN</v>
      </c>
      <c r="K1075" t="str">
        <f>VLOOKUP(A:A,[1]Sayfa1!$G:$M,7,0)</f>
        <v>SAMSUN</v>
      </c>
      <c r="L1075" t="str">
        <f>VLOOKUP(A:A,[1]Sayfa1!$G:$L,6,0)</f>
        <v>ILKADIM</v>
      </c>
      <c r="M1075" s="3">
        <v>1</v>
      </c>
      <c r="N1075" s="3">
        <v>1</v>
      </c>
      <c r="O1075" s="10">
        <v>0</v>
      </c>
      <c r="P1075" s="3">
        <v>0</v>
      </c>
    </row>
    <row r="1076" spans="1:16" x14ac:dyDescent="0.3">
      <c r="A1076" s="6" t="s">
        <v>3829</v>
      </c>
      <c r="B1076" s="6" t="s">
        <v>3830</v>
      </c>
      <c r="C1076" s="2" t="s">
        <v>18</v>
      </c>
      <c r="D1076" s="6">
        <v>41.268857300000001</v>
      </c>
      <c r="E1076" s="6">
        <v>36.313493200000003</v>
      </c>
      <c r="G1076" s="7" t="s">
        <v>1031</v>
      </c>
      <c r="H1076" s="7" t="s">
        <v>1031</v>
      </c>
      <c r="I1076" s="7" t="s">
        <v>1031</v>
      </c>
      <c r="J1076" t="str">
        <f>VLOOKUP(A:A,[1]Sayfa1!$G:$K,5,0)</f>
        <v>KIŞLA MH. BORÇKA SK. A BLOK APT. NO:1/A ADRES KODU: 2512644127 ILKADIM SAMSUN</v>
      </c>
      <c r="K1076" t="str">
        <f>VLOOKUP(A:A,[1]Sayfa1!$G:$M,7,0)</f>
        <v>SAMSUN</v>
      </c>
      <c r="L1076" t="str">
        <f>VLOOKUP(A:A,[1]Sayfa1!$G:$L,6,0)</f>
        <v>ILKADIM</v>
      </c>
      <c r="M1076" s="3">
        <v>1</v>
      </c>
      <c r="N1076" s="3">
        <v>1</v>
      </c>
      <c r="O1076" s="10">
        <v>0</v>
      </c>
      <c r="P1076" s="3">
        <v>0</v>
      </c>
    </row>
    <row r="1077" spans="1:16" x14ac:dyDescent="0.3">
      <c r="A1077" s="6" t="s">
        <v>3831</v>
      </c>
      <c r="B1077" s="6" t="s">
        <v>3832</v>
      </c>
      <c r="C1077" s="2" t="s">
        <v>18</v>
      </c>
      <c r="D1077" s="6">
        <v>41.301631100000002</v>
      </c>
      <c r="E1077" s="6">
        <v>36.326131699999998</v>
      </c>
      <c r="G1077" s="7" t="s">
        <v>1031</v>
      </c>
      <c r="H1077" s="7" t="s">
        <v>1031</v>
      </c>
      <c r="I1077" s="7" t="s">
        <v>1031</v>
      </c>
      <c r="J1077" t="str">
        <f>VLOOKUP(A:A,[1]Sayfa1!$G:$K,5,0)</f>
        <v>LİMAN MH. NEBİLER CD. NO: 9/1 ILKADIM SAMSUN</v>
      </c>
      <c r="K1077" t="str">
        <f>VLOOKUP(A:A,[1]Sayfa1!$G:$M,7,0)</f>
        <v>SAMSUN</v>
      </c>
      <c r="L1077" t="str">
        <f>VLOOKUP(A:A,[1]Sayfa1!$G:$L,6,0)</f>
        <v>ILKADIM</v>
      </c>
      <c r="M1077" s="3">
        <v>1</v>
      </c>
      <c r="N1077" s="3">
        <v>1</v>
      </c>
      <c r="O1077" s="10">
        <v>0</v>
      </c>
      <c r="P1077" s="3">
        <v>0</v>
      </c>
    </row>
    <row r="1078" spans="1:16" x14ac:dyDescent="0.3">
      <c r="A1078" s="6" t="s">
        <v>3833</v>
      </c>
      <c r="B1078" s="6" t="s">
        <v>3834</v>
      </c>
      <c r="C1078" s="2" t="s">
        <v>18</v>
      </c>
      <c r="D1078" s="6">
        <v>41.290264800000003</v>
      </c>
      <c r="E1078" s="6">
        <v>36.328767399999997</v>
      </c>
      <c r="G1078" s="7" t="s">
        <v>1031</v>
      </c>
      <c r="H1078" s="7" t="s">
        <v>1031</v>
      </c>
      <c r="I1078" s="7" t="s">
        <v>1031</v>
      </c>
      <c r="J1078" t="str">
        <f>VLOOKUP(A:A,[1]Sayfa1!$G:$K,5,0)</f>
        <v>SAİTBEY MH. 100.YIL BUL. NO:105/1 ILKADIM SAMSUN</v>
      </c>
      <c r="K1078" t="str">
        <f>VLOOKUP(A:A,[1]Sayfa1!$G:$M,7,0)</f>
        <v>SAMSUN</v>
      </c>
      <c r="L1078" t="str">
        <f>VLOOKUP(A:A,[1]Sayfa1!$G:$L,6,0)</f>
        <v>ILKADIM</v>
      </c>
      <c r="M1078" s="3">
        <v>1</v>
      </c>
      <c r="N1078" s="3">
        <v>1</v>
      </c>
      <c r="O1078" s="10">
        <v>0</v>
      </c>
      <c r="P1078" s="3">
        <v>0</v>
      </c>
    </row>
    <row r="1079" spans="1:16" x14ac:dyDescent="0.3">
      <c r="A1079" s="6" t="s">
        <v>3835</v>
      </c>
      <c r="B1079" s="6" t="s">
        <v>3836</v>
      </c>
      <c r="C1079" s="2" t="s">
        <v>18</v>
      </c>
      <c r="D1079" s="6">
        <v>41.2941565</v>
      </c>
      <c r="E1079" s="6">
        <v>36.325250599999997</v>
      </c>
      <c r="G1079" s="7" t="s">
        <v>1031</v>
      </c>
      <c r="H1079" s="7" t="s">
        <v>1031</v>
      </c>
      <c r="I1079" s="7" t="s">
        <v>1031</v>
      </c>
      <c r="J1079" t="str">
        <f>VLOOKUP(A:A,[1]Sayfa1!$G:$K,5,0)</f>
        <v>UNKAPANI MAH. ALKUŞ SOK. ALTAY APART. NO:17/ 20-21 ILKADIM SAMSUN</v>
      </c>
      <c r="K1079" t="str">
        <f>VLOOKUP(A:A,[1]Sayfa1!$G:$M,7,0)</f>
        <v>SAMSUN</v>
      </c>
      <c r="L1079" t="str">
        <f>VLOOKUP(A:A,[1]Sayfa1!$G:$L,6,0)</f>
        <v>ILKADIM</v>
      </c>
      <c r="M1079" s="3">
        <v>1</v>
      </c>
      <c r="N1079" s="3">
        <v>1</v>
      </c>
      <c r="O1079" s="10">
        <v>0</v>
      </c>
      <c r="P1079" s="3">
        <v>0</v>
      </c>
    </row>
    <row r="1080" spans="1:16" x14ac:dyDescent="0.3">
      <c r="A1080" s="6" t="s">
        <v>3837</v>
      </c>
      <c r="B1080" s="6" t="s">
        <v>3838</v>
      </c>
      <c r="C1080" s="2" t="s">
        <v>18</v>
      </c>
      <c r="D1080" s="6">
        <v>41.268351299999999</v>
      </c>
      <c r="E1080" s="6">
        <v>36.301166500000001</v>
      </c>
      <c r="G1080" s="7" t="s">
        <v>1031</v>
      </c>
      <c r="H1080" s="7" t="s">
        <v>1031</v>
      </c>
      <c r="I1080" s="7" t="s">
        <v>1031</v>
      </c>
      <c r="J1080" t="str">
        <f>VLOOKUP(A:A,[1]Sayfa1!$G:$K,5,0)</f>
        <v>TEPECİK MAH. 1571 SOK. NO:19/20 ILKADIM SAMSUN</v>
      </c>
      <c r="K1080" t="str">
        <f>VLOOKUP(A:A,[1]Sayfa1!$G:$M,7,0)</f>
        <v>SAMSUN</v>
      </c>
      <c r="L1080" t="str">
        <f>VLOOKUP(A:A,[1]Sayfa1!$G:$L,6,0)</f>
        <v>ILKADIM</v>
      </c>
      <c r="M1080" s="3">
        <v>1</v>
      </c>
      <c r="N1080" s="3">
        <v>1</v>
      </c>
      <c r="O1080" s="10">
        <v>0</v>
      </c>
      <c r="P1080" s="3">
        <v>0</v>
      </c>
    </row>
    <row r="1081" spans="1:16" x14ac:dyDescent="0.3">
      <c r="A1081" s="6" t="s">
        <v>3839</v>
      </c>
      <c r="B1081" s="6" t="s">
        <v>3840</v>
      </c>
      <c r="C1081" s="2" t="s">
        <v>18</v>
      </c>
      <c r="D1081" s="6">
        <v>41.267342200000002</v>
      </c>
      <c r="E1081" s="6">
        <v>36.288677</v>
      </c>
      <c r="G1081" s="7" t="s">
        <v>1031</v>
      </c>
      <c r="H1081" s="7" t="s">
        <v>1031</v>
      </c>
      <c r="I1081" s="7" t="s">
        <v>1031</v>
      </c>
      <c r="J1081" t="str">
        <f>VLOOKUP(A:A,[1]Sayfa1!$G:$K,5,0)</f>
        <v>KAVACIK MAH. 1494 SOK. NO:4/2  ILKADIM SAMSUN</v>
      </c>
      <c r="K1081" t="str">
        <f>VLOOKUP(A:A,[1]Sayfa1!$G:$M,7,0)</f>
        <v>SAMSUN</v>
      </c>
      <c r="L1081" t="str">
        <f>VLOOKUP(A:A,[1]Sayfa1!$G:$L,6,0)</f>
        <v>ILKADIM</v>
      </c>
      <c r="M1081" s="3">
        <v>1</v>
      </c>
      <c r="N1081" s="3">
        <v>1</v>
      </c>
      <c r="O1081" s="10">
        <v>0</v>
      </c>
      <c r="P1081" s="3">
        <v>0</v>
      </c>
    </row>
    <row r="1082" spans="1:16" x14ac:dyDescent="0.3">
      <c r="A1082" s="6" t="s">
        <v>3841</v>
      </c>
      <c r="B1082" s="6" t="s">
        <v>3842</v>
      </c>
      <c r="C1082" s="2" t="s">
        <v>18</v>
      </c>
      <c r="D1082" s="6">
        <v>41.274326500000001</v>
      </c>
      <c r="E1082" s="6">
        <v>36.323468099999999</v>
      </c>
      <c r="G1082" s="7" t="s">
        <v>1031</v>
      </c>
      <c r="H1082" s="7" t="s">
        <v>1031</v>
      </c>
      <c r="I1082" s="7" t="s">
        <v>1031</v>
      </c>
      <c r="J1082" t="str">
        <f>VLOOKUP(A:A,[1]Sayfa1!$G:$K,5,0)</f>
        <v>İLYASKÖY MAH ÇAYIRLI SOK. NO:2 /11-12-13 ILKADIM SAMSUN</v>
      </c>
      <c r="K1082" t="str">
        <f>VLOOKUP(A:A,[1]Sayfa1!$G:$M,7,0)</f>
        <v>SAMSUN</v>
      </c>
      <c r="L1082" t="str">
        <f>VLOOKUP(A:A,[1]Sayfa1!$G:$L,6,0)</f>
        <v>ILKADIM</v>
      </c>
      <c r="M1082" s="3">
        <v>1</v>
      </c>
      <c r="N1082" s="3">
        <v>1</v>
      </c>
      <c r="O1082" s="10">
        <v>0</v>
      </c>
      <c r="P1082" s="3">
        <v>0</v>
      </c>
    </row>
    <row r="1083" spans="1:16" x14ac:dyDescent="0.3">
      <c r="A1083" s="6" t="s">
        <v>3843</v>
      </c>
      <c r="B1083" s="6" t="s">
        <v>3844</v>
      </c>
      <c r="C1083" s="2" t="s">
        <v>18</v>
      </c>
      <c r="D1083" s="6">
        <v>41.272391399999997</v>
      </c>
      <c r="E1083" s="6">
        <v>36.338931199999998</v>
      </c>
      <c r="G1083" s="7" t="s">
        <v>1031</v>
      </c>
      <c r="H1083" s="7" t="s">
        <v>1031</v>
      </c>
      <c r="I1083" s="7" t="s">
        <v>1031</v>
      </c>
      <c r="J1083" t="str">
        <f>VLOOKUP(A:A,[1]Sayfa1!$G:$K,5,0)</f>
        <v>ADALET MAH. MUHTEŞEM SÜLEYMAN CAD. NO:19A-1-2-B-1 ILKADIM SAMSUN</v>
      </c>
      <c r="K1083" t="str">
        <f>VLOOKUP(A:A,[1]Sayfa1!$G:$M,7,0)</f>
        <v>SAMSUN</v>
      </c>
      <c r="L1083" t="str">
        <f>VLOOKUP(A:A,[1]Sayfa1!$G:$L,6,0)</f>
        <v>ILKADIM</v>
      </c>
      <c r="M1083" s="3">
        <v>1</v>
      </c>
      <c r="N1083" s="3">
        <v>1</v>
      </c>
      <c r="O1083" s="10">
        <v>0</v>
      </c>
      <c r="P1083" s="3">
        <v>0</v>
      </c>
    </row>
    <row r="1084" spans="1:16" x14ac:dyDescent="0.3">
      <c r="A1084" s="6" t="s">
        <v>3845</v>
      </c>
      <c r="B1084" s="6" t="s">
        <v>3846</v>
      </c>
      <c r="C1084" s="2" t="s">
        <v>18</v>
      </c>
      <c r="D1084" s="6">
        <v>41.306432000000001</v>
      </c>
      <c r="E1084" s="6">
        <v>36.330877100000002</v>
      </c>
      <c r="G1084" s="7" t="s">
        <v>1031</v>
      </c>
      <c r="H1084" s="7" t="s">
        <v>1031</v>
      </c>
      <c r="I1084" s="7" t="s">
        <v>1031</v>
      </c>
      <c r="J1084" t="str">
        <f>VLOOKUP(A:A,[1]Sayfa1!$G:$K,5,0)</f>
        <v>CEDİT MH. GENÇLİK CD. NO:51/25-26-27-28 ILKADIM SAMSUN</v>
      </c>
      <c r="K1084" t="str">
        <f>VLOOKUP(A:A,[1]Sayfa1!$G:$M,7,0)</f>
        <v>SAMSUN</v>
      </c>
      <c r="L1084" t="str">
        <f>VLOOKUP(A:A,[1]Sayfa1!$G:$L,6,0)</f>
        <v>ILKADIM</v>
      </c>
      <c r="M1084" s="3">
        <v>1</v>
      </c>
      <c r="N1084" s="3">
        <v>1</v>
      </c>
      <c r="O1084" s="10">
        <v>0</v>
      </c>
      <c r="P1084" s="3">
        <v>0</v>
      </c>
    </row>
    <row r="1085" spans="1:16" x14ac:dyDescent="0.3">
      <c r="A1085" s="6" t="s">
        <v>3847</v>
      </c>
      <c r="B1085" s="6" t="s">
        <v>3848</v>
      </c>
      <c r="C1085" s="2" t="s">
        <v>18</v>
      </c>
      <c r="D1085" s="6">
        <v>41.274841899999998</v>
      </c>
      <c r="E1085" s="6">
        <v>36.318689800000001</v>
      </c>
      <c r="G1085" s="7" t="s">
        <v>1031</v>
      </c>
      <c r="H1085" s="7" t="s">
        <v>1031</v>
      </c>
      <c r="I1085" s="7" t="s">
        <v>1031</v>
      </c>
      <c r="J1085" t="str">
        <f>VLOOKUP(A:A,[1]Sayfa1!$G:$K,5,0)</f>
        <v>İLYASKÖY MAH BUCA SOK. NO:2/B ILKADIM SAMSUN</v>
      </c>
      <c r="K1085" t="str">
        <f>VLOOKUP(A:A,[1]Sayfa1!$G:$M,7,0)</f>
        <v>SAMSUN</v>
      </c>
      <c r="L1085" t="str">
        <f>VLOOKUP(A:A,[1]Sayfa1!$G:$L,6,0)</f>
        <v>ILKADIM</v>
      </c>
      <c r="M1085" s="3">
        <v>1</v>
      </c>
      <c r="N1085" s="3">
        <v>1</v>
      </c>
      <c r="O1085" s="10">
        <v>0</v>
      </c>
      <c r="P1085" s="3">
        <v>0</v>
      </c>
    </row>
    <row r="1086" spans="1:16" x14ac:dyDescent="0.3">
      <c r="A1086" s="6" t="s">
        <v>3849</v>
      </c>
      <c r="B1086" s="6" t="s">
        <v>3850</v>
      </c>
      <c r="C1086" s="2" t="s">
        <v>18</v>
      </c>
      <c r="D1086" s="6">
        <v>41.267128999999997</v>
      </c>
      <c r="E1086" s="6">
        <v>36.322990400000002</v>
      </c>
      <c r="G1086" s="7" t="s">
        <v>1031</v>
      </c>
      <c r="H1086" s="7" t="s">
        <v>1031</v>
      </c>
      <c r="I1086" s="7" t="s">
        <v>1031</v>
      </c>
      <c r="J1086" t="str">
        <f>VLOOKUP(A:A,[1]Sayfa1!$G:$K,5,0)</f>
        <v>YAŞARDOĞU MAH GAZİ ETHEM PAŞA BULV. NO:92/1 ILKADIM SAMSUN</v>
      </c>
      <c r="K1086" t="str">
        <f>VLOOKUP(A:A,[1]Sayfa1!$G:$M,7,0)</f>
        <v>SAMSUN</v>
      </c>
      <c r="L1086" t="str">
        <f>VLOOKUP(A:A,[1]Sayfa1!$G:$L,6,0)</f>
        <v>ILKADIM</v>
      </c>
      <c r="M1086" s="3">
        <v>1</v>
      </c>
      <c r="N1086" s="3">
        <v>1</v>
      </c>
      <c r="O1086" s="10">
        <v>0</v>
      </c>
      <c r="P1086" s="3">
        <v>0</v>
      </c>
    </row>
    <row r="1087" spans="1:16" x14ac:dyDescent="0.3">
      <c r="A1087" s="6" t="s">
        <v>3851</v>
      </c>
      <c r="B1087" s="6" t="s">
        <v>3852</v>
      </c>
      <c r="C1087" s="2" t="s">
        <v>18</v>
      </c>
      <c r="D1087" s="6">
        <v>41.279637000000001</v>
      </c>
      <c r="E1087" s="6">
        <v>36.3187207</v>
      </c>
      <c r="G1087" s="7" t="s">
        <v>1031</v>
      </c>
      <c r="H1087" s="7" t="s">
        <v>1031</v>
      </c>
      <c r="I1087" s="7" t="s">
        <v>1031</v>
      </c>
      <c r="J1087" t="str">
        <f>VLOOKUP(A:A,[1]Sayfa1!$G:$K,5,0)</f>
        <v>KADIKÖY MAH OSMANİYE CAD. NO: 232/17 ILKADIM SAMSUN</v>
      </c>
      <c r="K1087" t="str">
        <f>VLOOKUP(A:A,[1]Sayfa1!$G:$M,7,0)</f>
        <v>SAMSUN</v>
      </c>
      <c r="L1087" t="str">
        <f>VLOOKUP(A:A,[1]Sayfa1!$G:$L,6,0)</f>
        <v>ILKADIM</v>
      </c>
      <c r="M1087" s="3">
        <v>1</v>
      </c>
      <c r="N1087" s="3">
        <v>1</v>
      </c>
      <c r="O1087" s="10">
        <v>0</v>
      </c>
      <c r="P1087" s="3">
        <v>0</v>
      </c>
    </row>
    <row r="1088" spans="1:16" x14ac:dyDescent="0.3">
      <c r="A1088" s="6" t="s">
        <v>3853</v>
      </c>
      <c r="B1088" s="6" t="s">
        <v>3854</v>
      </c>
      <c r="C1088" s="2" t="s">
        <v>18</v>
      </c>
      <c r="D1088" s="6">
        <v>41.263539299999998</v>
      </c>
      <c r="E1088" s="6">
        <v>36.316288100000001</v>
      </c>
      <c r="G1088" s="7" t="s">
        <v>1031</v>
      </c>
      <c r="H1088" s="7" t="s">
        <v>1031</v>
      </c>
      <c r="I1088" s="7" t="s">
        <v>1031</v>
      </c>
      <c r="J1088" t="str">
        <f>VLOOKUP(A:A,[1]Sayfa1!$G:$K,5,0)</f>
        <v>KIŞLA MAH 963. SOK. NO:2/1 ILKADIM SAMSUN</v>
      </c>
      <c r="K1088" t="str">
        <f>VLOOKUP(A:A,[1]Sayfa1!$G:$M,7,0)</f>
        <v>SAMSUN</v>
      </c>
      <c r="L1088" t="str">
        <f>VLOOKUP(A:A,[1]Sayfa1!$G:$L,6,0)</f>
        <v>ILKADIM</v>
      </c>
      <c r="M1088" s="3">
        <v>1</v>
      </c>
      <c r="N1088" s="3">
        <v>1</v>
      </c>
      <c r="O1088" s="10">
        <v>0</v>
      </c>
      <c r="P1088" s="3">
        <v>0</v>
      </c>
    </row>
    <row r="1089" spans="1:16" x14ac:dyDescent="0.3">
      <c r="A1089" s="6" t="s">
        <v>3855</v>
      </c>
      <c r="B1089" s="6" t="s">
        <v>3856</v>
      </c>
      <c r="C1089" s="2" t="s">
        <v>18</v>
      </c>
      <c r="D1089" s="6">
        <v>41.268430000000002</v>
      </c>
      <c r="E1089" s="6">
        <v>36.308273</v>
      </c>
      <c r="G1089" s="7" t="s">
        <v>1031</v>
      </c>
      <c r="H1089" s="7" t="s">
        <v>1031</v>
      </c>
      <c r="I1089" s="7" t="s">
        <v>1031</v>
      </c>
      <c r="J1089" t="str">
        <f>VLOOKUP(A:A,[1]Sayfa1!$G:$K,5,0)</f>
        <v>TEPECİK MAH GEBİ CAD. NO:310A-19 ILKADIM SAMSUN</v>
      </c>
      <c r="K1089" t="str">
        <f>VLOOKUP(A:A,[1]Sayfa1!$G:$M,7,0)</f>
        <v>SAMSUN</v>
      </c>
      <c r="L1089" t="str">
        <f>VLOOKUP(A:A,[1]Sayfa1!$G:$L,6,0)</f>
        <v>ILKADIM</v>
      </c>
      <c r="M1089" s="3">
        <v>1</v>
      </c>
      <c r="N1089" s="3">
        <v>1</v>
      </c>
      <c r="O1089" s="10">
        <v>0</v>
      </c>
      <c r="P1089" s="3">
        <v>0</v>
      </c>
    </row>
    <row r="1090" spans="1:16" x14ac:dyDescent="0.3">
      <c r="A1090" s="6" t="s">
        <v>3857</v>
      </c>
      <c r="B1090" s="6" t="s">
        <v>3858</v>
      </c>
      <c r="C1090" s="2" t="s">
        <v>18</v>
      </c>
      <c r="D1090" s="6">
        <v>41.263697999999998</v>
      </c>
      <c r="E1090" s="6">
        <v>36.284484999999997</v>
      </c>
      <c r="G1090" s="7" t="s">
        <v>1031</v>
      </c>
      <c r="H1090" s="7" t="s">
        <v>1031</v>
      </c>
      <c r="I1090" s="7" t="s">
        <v>1031</v>
      </c>
      <c r="J1090" t="str">
        <f>VLOOKUP(A:A,[1]Sayfa1!$G:$K,5,0)</f>
        <v>KAVACIK MAH 1157 SK. NO:44A ILKADIM SAMSUN</v>
      </c>
      <c r="K1090" t="str">
        <f>VLOOKUP(A:A,[1]Sayfa1!$G:$M,7,0)</f>
        <v>SAMSUN</v>
      </c>
      <c r="L1090" t="str">
        <f>VLOOKUP(A:A,[1]Sayfa1!$G:$L,6,0)</f>
        <v>ILKADIM</v>
      </c>
      <c r="M1090" s="3">
        <v>1</v>
      </c>
      <c r="N1090" s="3">
        <v>1</v>
      </c>
      <c r="O1090" s="10">
        <v>0</v>
      </c>
      <c r="P1090" s="3">
        <v>0</v>
      </c>
    </row>
    <row r="1091" spans="1:16" x14ac:dyDescent="0.3">
      <c r="A1091" s="6" t="s">
        <v>3859</v>
      </c>
      <c r="B1091" s="6" t="s">
        <v>3860</v>
      </c>
      <c r="C1091" s="2" t="s">
        <v>18</v>
      </c>
      <c r="D1091" s="6">
        <v>41.266536700000003</v>
      </c>
      <c r="E1091" s="6">
        <v>36.319713299999997</v>
      </c>
      <c r="G1091" s="7" t="s">
        <v>1031</v>
      </c>
      <c r="H1091" s="7" t="s">
        <v>1031</v>
      </c>
      <c r="I1091" s="7" t="s">
        <v>1031</v>
      </c>
      <c r="J1091" t="str">
        <f>VLOOKUP(A:A,[1]Sayfa1!$G:$K,5,0)</f>
        <v>YAŞARDOĞU MAH ŞEHİT TUNCAY KARATAŞ BULV. NO:80 ILKADIM SAMSUN</v>
      </c>
      <c r="K1091" t="str">
        <f>VLOOKUP(A:A,[1]Sayfa1!$G:$M,7,0)</f>
        <v>SAMSUN</v>
      </c>
      <c r="L1091" t="str">
        <f>VLOOKUP(A:A,[1]Sayfa1!$G:$L,6,0)</f>
        <v>ILKADIM</v>
      </c>
      <c r="M1091" s="3">
        <v>1</v>
      </c>
      <c r="N1091" s="3">
        <v>1</v>
      </c>
      <c r="O1091" s="10">
        <v>0</v>
      </c>
      <c r="P1091" s="3">
        <v>0</v>
      </c>
    </row>
    <row r="1092" spans="1:16" x14ac:dyDescent="0.3">
      <c r="A1092" s="6" t="s">
        <v>3861</v>
      </c>
      <c r="B1092" s="6" t="s">
        <v>3862</v>
      </c>
      <c r="C1092" s="2" t="s">
        <v>18</v>
      </c>
      <c r="D1092" s="6">
        <v>41.275459599999998</v>
      </c>
      <c r="E1092" s="6">
        <v>36.3269564</v>
      </c>
      <c r="G1092" s="7" t="s">
        <v>1031</v>
      </c>
      <c r="H1092" s="7" t="s">
        <v>1031</v>
      </c>
      <c r="I1092" s="7" t="s">
        <v>1031</v>
      </c>
      <c r="J1092" t="str">
        <f>VLOOKUP(A:A,[1]Sayfa1!$G:$K,5,0)</f>
        <v>FEVZİ ÇAKMAK MAH SAADETTİN HOCA SOK. NO:14B ILKADIM SAMSUN</v>
      </c>
      <c r="K1092" t="str">
        <f>VLOOKUP(A:A,[1]Sayfa1!$G:$M,7,0)</f>
        <v>SAMSUN</v>
      </c>
      <c r="L1092" t="str">
        <f>VLOOKUP(A:A,[1]Sayfa1!$G:$L,6,0)</f>
        <v>ILKADIM</v>
      </c>
      <c r="M1092" s="3">
        <v>1</v>
      </c>
      <c r="N1092" s="3">
        <v>1</v>
      </c>
      <c r="O1092" s="10">
        <v>0</v>
      </c>
      <c r="P1092" s="3">
        <v>0</v>
      </c>
    </row>
    <row r="1093" spans="1:16" x14ac:dyDescent="0.3">
      <c r="A1093" s="6" t="s">
        <v>3863</v>
      </c>
      <c r="B1093" s="6" t="s">
        <v>3864</v>
      </c>
      <c r="C1093" s="2" t="s">
        <v>18</v>
      </c>
      <c r="D1093" s="6">
        <v>41.26641</v>
      </c>
      <c r="E1093" s="6">
        <v>36.295546999999999</v>
      </c>
      <c r="G1093" s="7" t="s">
        <v>1031</v>
      </c>
      <c r="H1093" s="7" t="s">
        <v>1031</v>
      </c>
      <c r="I1093" s="7" t="s">
        <v>1031</v>
      </c>
      <c r="J1093" t="str">
        <f>VLOOKUP(A:A,[1]Sayfa1!$G:$K,5,0)</f>
        <v>TEPECİK MAH GEBİ CAD. NO:360 A/B ILKADIM SAMSUN</v>
      </c>
      <c r="K1093" t="str">
        <f>VLOOKUP(A:A,[1]Sayfa1!$G:$M,7,0)</f>
        <v>SAMSUN</v>
      </c>
      <c r="L1093" t="str">
        <f>VLOOKUP(A:A,[1]Sayfa1!$G:$L,6,0)</f>
        <v>ILKADIM</v>
      </c>
      <c r="M1093" s="3">
        <v>1</v>
      </c>
      <c r="N1093" s="3">
        <v>1</v>
      </c>
      <c r="O1093" s="10">
        <v>0</v>
      </c>
      <c r="P1093" s="3">
        <v>0</v>
      </c>
    </row>
    <row r="1094" spans="1:16" x14ac:dyDescent="0.3">
      <c r="A1094" s="6" t="s">
        <v>3865</v>
      </c>
      <c r="B1094" s="6" t="s">
        <v>3866</v>
      </c>
      <c r="C1094" s="2" t="s">
        <v>18</v>
      </c>
      <c r="D1094" s="6">
        <v>41.306635421400003</v>
      </c>
      <c r="E1094" s="6">
        <v>36.327035437299998</v>
      </c>
      <c r="G1094" s="7" t="s">
        <v>1031</v>
      </c>
      <c r="H1094" s="7" t="s">
        <v>1031</v>
      </c>
      <c r="I1094" s="7" t="s">
        <v>1031</v>
      </c>
      <c r="J1094" t="str">
        <f>VLOOKUP(A:A,[1]Sayfa1!$G:$K,5,0)</f>
        <v>CEDİT MAH BOL SK. NO:35 ILKADIM SAMSUN</v>
      </c>
      <c r="K1094" t="str">
        <f>VLOOKUP(A:A,[1]Sayfa1!$G:$M,7,0)</f>
        <v>SAMSUN</v>
      </c>
      <c r="L1094" t="str">
        <f>VLOOKUP(A:A,[1]Sayfa1!$G:$L,6,0)</f>
        <v>ILKADIM</v>
      </c>
      <c r="M1094" s="3">
        <v>1</v>
      </c>
      <c r="N1094" s="3">
        <v>1</v>
      </c>
      <c r="O1094" s="10">
        <v>0</v>
      </c>
      <c r="P1094" s="3">
        <v>0</v>
      </c>
    </row>
    <row r="1095" spans="1:16" x14ac:dyDescent="0.3">
      <c r="A1095" s="6" t="s">
        <v>3867</v>
      </c>
      <c r="B1095" s="6" t="s">
        <v>3868</v>
      </c>
      <c r="C1095" s="2" t="s">
        <v>18</v>
      </c>
      <c r="D1095" s="6">
        <v>41.300189514700001</v>
      </c>
      <c r="E1095" s="6">
        <v>36.320490610299998</v>
      </c>
      <c r="G1095" s="7" t="s">
        <v>1031</v>
      </c>
      <c r="H1095" s="7" t="s">
        <v>1031</v>
      </c>
      <c r="I1095" s="7" t="s">
        <v>1031</v>
      </c>
      <c r="J1095" t="str">
        <f>VLOOKUP(A:A,[1]Sayfa1!$G:$K,5,0)</f>
        <v>KADİFEKALE MAH KIZILCIK DİBİ SK. NO:7 ILKADIM SAMSUN</v>
      </c>
      <c r="K1095" t="str">
        <f>VLOOKUP(A:A,[1]Sayfa1!$G:$M,7,0)</f>
        <v>SAMSUN</v>
      </c>
      <c r="L1095" t="str">
        <f>VLOOKUP(A:A,[1]Sayfa1!$G:$L,6,0)</f>
        <v>ILKADIM</v>
      </c>
      <c r="M1095" s="3">
        <v>1</v>
      </c>
      <c r="N1095" s="3">
        <v>1</v>
      </c>
      <c r="O1095" s="10">
        <v>0</v>
      </c>
      <c r="P1095" s="3">
        <v>0</v>
      </c>
    </row>
    <row r="1096" spans="1:16" x14ac:dyDescent="0.3">
      <c r="A1096" s="6" t="s">
        <v>3869</v>
      </c>
      <c r="B1096" s="6" t="s">
        <v>3870</v>
      </c>
      <c r="C1096" s="2" t="s">
        <v>18</v>
      </c>
      <c r="D1096" s="6">
        <v>41.289325300000002</v>
      </c>
      <c r="E1096" s="6">
        <v>36.3223384</v>
      </c>
      <c r="G1096" s="7" t="s">
        <v>1031</v>
      </c>
      <c r="H1096" s="7" t="s">
        <v>1031</v>
      </c>
      <c r="I1096" s="7" t="s">
        <v>1031</v>
      </c>
      <c r="J1096" t="str">
        <f>VLOOKUP(A:A,[1]Sayfa1!$G:$K,5,0)</f>
        <v>ZEYTİNLİK MAH HIZIRBEY CAD. NO:81 ILKADIM SAMSUN</v>
      </c>
      <c r="K1096" t="str">
        <f>VLOOKUP(A:A,[1]Sayfa1!$G:$M,7,0)</f>
        <v>SAMSUN</v>
      </c>
      <c r="L1096" t="str">
        <f>VLOOKUP(A:A,[1]Sayfa1!$G:$L,6,0)</f>
        <v>ILKADIM</v>
      </c>
      <c r="M1096" s="3">
        <v>1</v>
      </c>
      <c r="N1096" s="3">
        <v>1</v>
      </c>
      <c r="O1096" s="10">
        <v>0</v>
      </c>
      <c r="P1096" s="3">
        <v>0</v>
      </c>
    </row>
    <row r="1097" spans="1:16" x14ac:dyDescent="0.3">
      <c r="A1097" s="6" t="s">
        <v>3871</v>
      </c>
      <c r="B1097" s="6" t="s">
        <v>3872</v>
      </c>
      <c r="C1097" s="2" t="s">
        <v>18</v>
      </c>
      <c r="D1097" s="6">
        <v>41.261746000000002</v>
      </c>
      <c r="E1097" s="6">
        <v>36.316777299999998</v>
      </c>
      <c r="G1097" s="7" t="s">
        <v>1031</v>
      </c>
      <c r="H1097" s="7" t="s">
        <v>1031</v>
      </c>
      <c r="I1097" s="7" t="s">
        <v>1031</v>
      </c>
      <c r="J1097" t="str">
        <f>VLOOKUP(A:A,[1]Sayfa1!$G:$K,5,0)</f>
        <v>KIŞLA MAH 939 SOK. NO:13A ILKADIM SAMSUN</v>
      </c>
      <c r="K1097" t="str">
        <f>VLOOKUP(A:A,[1]Sayfa1!$G:$M,7,0)</f>
        <v>SAMSUN</v>
      </c>
      <c r="L1097" t="str">
        <f>VLOOKUP(A:A,[1]Sayfa1!$G:$L,6,0)</f>
        <v>ILKADIM</v>
      </c>
      <c r="M1097" s="3">
        <v>1</v>
      </c>
      <c r="N1097" s="3">
        <v>1</v>
      </c>
      <c r="O1097" s="10">
        <v>0</v>
      </c>
      <c r="P1097" s="3">
        <v>0</v>
      </c>
    </row>
    <row r="1098" spans="1:16" x14ac:dyDescent="0.3">
      <c r="A1098" s="6" t="s">
        <v>3873</v>
      </c>
      <c r="B1098" s="6" t="s">
        <v>3874</v>
      </c>
      <c r="C1098" s="2" t="s">
        <v>18</v>
      </c>
      <c r="D1098" s="6">
        <v>41.281055799999997</v>
      </c>
      <c r="E1098" s="6">
        <v>36.347149299999998</v>
      </c>
      <c r="G1098" s="7" t="s">
        <v>1031</v>
      </c>
      <c r="H1098" s="7" t="s">
        <v>1031</v>
      </c>
      <c r="I1098" s="7" t="s">
        <v>1031</v>
      </c>
      <c r="J1098" t="str">
        <f>VLOOKUP(A:A,[1]Sayfa1!$G:$K,5,0)</f>
        <v>KILIÇDEDE MAH CUMHURİYET CAD. NO:204 ILKADIM SAMSUN</v>
      </c>
      <c r="K1098" t="str">
        <f>VLOOKUP(A:A,[1]Sayfa1!$G:$M,7,0)</f>
        <v>SAMSUN</v>
      </c>
      <c r="L1098" t="str">
        <f>VLOOKUP(A:A,[1]Sayfa1!$G:$L,6,0)</f>
        <v>ILKADIM</v>
      </c>
      <c r="M1098" s="3">
        <v>1</v>
      </c>
      <c r="N1098" s="3">
        <v>1</v>
      </c>
      <c r="O1098" s="10">
        <v>0</v>
      </c>
      <c r="P1098" s="3">
        <v>0</v>
      </c>
    </row>
    <row r="1099" spans="1:16" x14ac:dyDescent="0.3">
      <c r="A1099" s="6" t="s">
        <v>3875</v>
      </c>
      <c r="B1099" s="6" t="s">
        <v>3876</v>
      </c>
      <c r="C1099" s="2" t="s">
        <v>18</v>
      </c>
      <c r="D1099" s="6">
        <v>41.2685472</v>
      </c>
      <c r="E1099" s="6">
        <v>36.337699100000002</v>
      </c>
      <c r="G1099" s="7" t="s">
        <v>1031</v>
      </c>
      <c r="H1099" s="7" t="s">
        <v>1031</v>
      </c>
      <c r="I1099" s="7" t="s">
        <v>1031</v>
      </c>
      <c r="J1099" t="str">
        <f>VLOOKUP(A:A,[1]Sayfa1!$G:$K,5,0)</f>
        <v>ADALET MAH KARADENİZ CAD. NO:97 İÇ KAPI NO:3 ILKADIM SAMSUN</v>
      </c>
      <c r="K1099" t="str">
        <f>VLOOKUP(A:A,[1]Sayfa1!$G:$M,7,0)</f>
        <v>SAMSUN</v>
      </c>
      <c r="L1099" t="str">
        <f>VLOOKUP(A:A,[1]Sayfa1!$G:$L,6,0)</f>
        <v>ILKADIM</v>
      </c>
      <c r="M1099" s="3">
        <v>1</v>
      </c>
      <c r="N1099" s="3">
        <v>1</v>
      </c>
      <c r="O1099" s="10">
        <v>0</v>
      </c>
      <c r="P1099" s="3">
        <v>0</v>
      </c>
    </row>
    <row r="1100" spans="1:16" x14ac:dyDescent="0.3">
      <c r="A1100" s="6" t="s">
        <v>3877</v>
      </c>
      <c r="B1100" s="6" t="s">
        <v>3878</v>
      </c>
      <c r="C1100" s="2" t="s">
        <v>18</v>
      </c>
      <c r="D1100" s="6">
        <v>41.300134900000003</v>
      </c>
      <c r="E1100" s="6">
        <v>36.327619800000001</v>
      </c>
      <c r="G1100" s="7" t="s">
        <v>1031</v>
      </c>
      <c r="H1100" s="7" t="s">
        <v>1031</v>
      </c>
      <c r="I1100" s="7" t="s">
        <v>1031</v>
      </c>
      <c r="J1100" t="str">
        <f>VLOOKUP(A:A,[1]Sayfa1!$G:$K,5,0)</f>
        <v>LİMAN MAH EBU SUUD EFENDİ CAD. NO:46A ILKADIM SAMSUN</v>
      </c>
      <c r="K1100" t="str">
        <f>VLOOKUP(A:A,[1]Sayfa1!$G:$M,7,0)</f>
        <v>SAMSUN</v>
      </c>
      <c r="L1100" t="str">
        <f>VLOOKUP(A:A,[1]Sayfa1!$G:$L,6,0)</f>
        <v>ILKADIM</v>
      </c>
      <c r="M1100" s="3">
        <v>1</v>
      </c>
      <c r="N1100" s="3">
        <v>1</v>
      </c>
      <c r="O1100" s="10">
        <v>0</v>
      </c>
      <c r="P1100" s="3">
        <v>0</v>
      </c>
    </row>
    <row r="1101" spans="1:16" x14ac:dyDescent="0.3">
      <c r="A1101" s="6" t="s">
        <v>3879</v>
      </c>
      <c r="B1101" s="6" t="s">
        <v>3880</v>
      </c>
      <c r="C1101" s="2" t="s">
        <v>18</v>
      </c>
      <c r="D1101" s="6">
        <v>41.127192399999998</v>
      </c>
      <c r="E1101" s="6">
        <v>37.285374599999997</v>
      </c>
      <c r="G1101" s="7" t="s">
        <v>1031</v>
      </c>
      <c r="H1101" s="7" t="s">
        <v>1031</v>
      </c>
      <c r="I1101" s="7" t="s">
        <v>1031</v>
      </c>
      <c r="J1101" t="str">
        <f>VLOOKUP(A:A,[1]Sayfa1!$G:$K,5,0)</f>
        <v>KALEDERE MAH. 20 TEMMUZ GEÇİDİ NO:15 / ÜNYE ORDU</v>
      </c>
      <c r="K1101" t="str">
        <f>VLOOKUP(A:A,[1]Sayfa1!$G:$M,7,0)</f>
        <v>ORDU</v>
      </c>
      <c r="L1101" t="str">
        <f>VLOOKUP(A:A,[1]Sayfa1!$G:$L,6,0)</f>
        <v>ÜNYE</v>
      </c>
      <c r="M1101" s="3">
        <v>1</v>
      </c>
      <c r="N1101" s="3">
        <v>1</v>
      </c>
      <c r="O1101" s="10">
        <v>0</v>
      </c>
      <c r="P1101" s="3">
        <v>0</v>
      </c>
    </row>
    <row r="1102" spans="1:16" x14ac:dyDescent="0.3">
      <c r="A1102" s="6" t="s">
        <v>3881</v>
      </c>
      <c r="B1102" s="6" t="s">
        <v>3882</v>
      </c>
      <c r="C1102" s="2" t="s">
        <v>18</v>
      </c>
      <c r="D1102" s="6">
        <v>41.206824099999999</v>
      </c>
      <c r="E1102" s="6">
        <v>36.974883200000001</v>
      </c>
      <c r="G1102" s="7" t="s">
        <v>1031</v>
      </c>
      <c r="H1102" s="7" t="s">
        <v>1031</v>
      </c>
      <c r="I1102" s="7" t="s">
        <v>1031</v>
      </c>
      <c r="J1102" t="str">
        <f>VLOOKUP(A:A,[1]Sayfa1!$G:$K,5,0)</f>
        <v>ÇAY MAH. ÜNYE CAD. NO:29 TERME / SAMSUN</v>
      </c>
      <c r="K1102" t="str">
        <f>VLOOKUP(A:A,[1]Sayfa1!$G:$M,7,0)</f>
        <v>SAMSUN</v>
      </c>
      <c r="L1102" t="str">
        <f>VLOOKUP(A:A,[1]Sayfa1!$G:$L,6,0)</f>
        <v>TERME</v>
      </c>
      <c r="M1102" s="3">
        <v>1</v>
      </c>
      <c r="N1102" s="3">
        <v>1</v>
      </c>
      <c r="O1102" s="10">
        <v>0</v>
      </c>
      <c r="P1102" s="3">
        <v>0</v>
      </c>
    </row>
    <row r="1103" spans="1:16" x14ac:dyDescent="0.3">
      <c r="A1103" s="6" t="s">
        <v>3883</v>
      </c>
      <c r="B1103" s="6" t="s">
        <v>3884</v>
      </c>
      <c r="C1103" s="2" t="s">
        <v>18</v>
      </c>
      <c r="D1103" s="6">
        <v>41.121833100000003</v>
      </c>
      <c r="E1103" s="6">
        <v>37.276563799999998</v>
      </c>
      <c r="G1103" s="7" t="s">
        <v>1031</v>
      </c>
      <c r="H1103" s="7" t="s">
        <v>1031</v>
      </c>
      <c r="I1103" s="7" t="s">
        <v>1031</v>
      </c>
      <c r="J1103" t="str">
        <f>VLOOKUP(A:A,[1]Sayfa1!$G:$K,5,0)</f>
        <v>LİSELER MAH. AKKUŞ-NİKSAR CAD. NO:189 ÜNYE ORDU</v>
      </c>
      <c r="K1103" t="str">
        <f>VLOOKUP(A:A,[1]Sayfa1!$G:$M,7,0)</f>
        <v>ORDU</v>
      </c>
      <c r="L1103" t="str">
        <f>VLOOKUP(A:A,[1]Sayfa1!$G:$L,6,0)</f>
        <v>ÜNYE</v>
      </c>
      <c r="M1103" s="3">
        <v>1</v>
      </c>
      <c r="N1103" s="3">
        <v>1</v>
      </c>
      <c r="O1103" s="10">
        <v>0</v>
      </c>
      <c r="P1103" s="3">
        <v>0</v>
      </c>
    </row>
    <row r="1104" spans="1:16" x14ac:dyDescent="0.3">
      <c r="A1104" s="6" t="s">
        <v>3885</v>
      </c>
      <c r="B1104" s="6" t="s">
        <v>3886</v>
      </c>
      <c r="C1104" s="2" t="s">
        <v>18</v>
      </c>
      <c r="D1104" s="6">
        <v>41.211022</v>
      </c>
      <c r="E1104" s="6">
        <v>36.972101899999998</v>
      </c>
      <c r="G1104" s="7" t="s">
        <v>1031</v>
      </c>
      <c r="H1104" s="7" t="s">
        <v>1031</v>
      </c>
      <c r="I1104" s="7" t="s">
        <v>1031</v>
      </c>
      <c r="J1104" t="str">
        <f>VLOOKUP(A:A,[1]Sayfa1!$G:$K,5,0)</f>
        <v>FENK MH.ATATÜRK CD.NO:15/D  TERME SAMSUN</v>
      </c>
      <c r="K1104" t="str">
        <f>VLOOKUP(A:A,[1]Sayfa1!$G:$M,7,0)</f>
        <v>SAMSUN</v>
      </c>
      <c r="L1104" t="str">
        <f>VLOOKUP(A:A,[1]Sayfa1!$G:$L,6,0)</f>
        <v>TERME</v>
      </c>
      <c r="M1104" s="3">
        <v>1</v>
      </c>
      <c r="N1104" s="3">
        <v>1</v>
      </c>
      <c r="O1104" s="10">
        <v>0</v>
      </c>
      <c r="P1104" s="3">
        <v>0</v>
      </c>
    </row>
    <row r="1105" spans="1:16" x14ac:dyDescent="0.3">
      <c r="A1105" s="6" t="s">
        <v>3887</v>
      </c>
      <c r="B1105" s="6" t="s">
        <v>3888</v>
      </c>
      <c r="C1105" s="2" t="s">
        <v>18</v>
      </c>
      <c r="D1105" s="6">
        <v>41.134664700000002</v>
      </c>
      <c r="E1105" s="6">
        <v>37.288029000000002</v>
      </c>
      <c r="G1105" s="7" t="s">
        <v>1031</v>
      </c>
      <c r="H1105" s="7" t="s">
        <v>1031</v>
      </c>
      <c r="I1105" s="7" t="s">
        <v>1031</v>
      </c>
      <c r="J1105" t="str">
        <f>VLOOKUP(A:A,[1]Sayfa1!$G:$K,5,0)</f>
        <v>ORTA YILMAZLAR MAH. SAHİL CAD. NO:5 ÜNYE ORDU</v>
      </c>
      <c r="K1105" t="str">
        <f>VLOOKUP(A:A,[1]Sayfa1!$G:$M,7,0)</f>
        <v>ORDU</v>
      </c>
      <c r="L1105" t="str">
        <f>VLOOKUP(A:A,[1]Sayfa1!$G:$L,6,0)</f>
        <v>ÜNYE</v>
      </c>
      <c r="M1105" s="3">
        <v>1</v>
      </c>
      <c r="N1105" s="3">
        <v>1</v>
      </c>
      <c r="O1105" s="10">
        <v>0</v>
      </c>
      <c r="P1105" s="3">
        <v>0</v>
      </c>
    </row>
    <row r="1106" spans="1:16" x14ac:dyDescent="0.3">
      <c r="A1106" s="6" t="s">
        <v>3889</v>
      </c>
      <c r="B1106" s="6" t="s">
        <v>3890</v>
      </c>
      <c r="C1106" s="2" t="s">
        <v>18</v>
      </c>
      <c r="D1106" s="6">
        <v>41.143500400000001</v>
      </c>
      <c r="E1106" s="6">
        <v>37.280496900000003</v>
      </c>
      <c r="G1106" s="7" t="s">
        <v>1031</v>
      </c>
      <c r="H1106" s="7" t="s">
        <v>1031</v>
      </c>
      <c r="I1106" s="7" t="s">
        <v>1031</v>
      </c>
      <c r="J1106" t="str">
        <f>VLOOKUP(A:A,[1]Sayfa1!$G:$K,5,0)</f>
        <v>ATATÜRK MAH. DEVLET SAHİLYOLU NO:679/A ÜNYE ORDU</v>
      </c>
      <c r="K1106" t="str">
        <f>VLOOKUP(A:A,[1]Sayfa1!$G:$M,7,0)</f>
        <v>ORDU</v>
      </c>
      <c r="L1106" t="str">
        <f>VLOOKUP(A:A,[1]Sayfa1!$G:$L,6,0)</f>
        <v>ÜNYE</v>
      </c>
      <c r="M1106" s="3">
        <v>1</v>
      </c>
      <c r="N1106" s="3">
        <v>1</v>
      </c>
      <c r="O1106" s="10">
        <v>0</v>
      </c>
      <c r="P1106" s="3">
        <v>0</v>
      </c>
    </row>
    <row r="1107" spans="1:16" x14ac:dyDescent="0.3">
      <c r="A1107" s="6" t="s">
        <v>3891</v>
      </c>
      <c r="B1107" s="6" t="s">
        <v>3892</v>
      </c>
      <c r="C1107" s="2" t="s">
        <v>18</v>
      </c>
      <c r="D1107" s="6">
        <v>41.124035399999997</v>
      </c>
      <c r="E1107" s="6">
        <v>37.290746200000001</v>
      </c>
      <c r="G1107" s="7" t="s">
        <v>1031</v>
      </c>
      <c r="H1107" s="7" t="s">
        <v>1031</v>
      </c>
      <c r="I1107" s="7" t="s">
        <v>1031</v>
      </c>
      <c r="J1107" t="str">
        <f>VLOOKUP(A:A,[1]Sayfa1!$G:$K,5,0)</f>
        <v>LİSELER MAH. FATİH SULTAN MEHMET CAD. NO:98 ÜNYE ORDU</v>
      </c>
      <c r="K1107" t="str">
        <f>VLOOKUP(A:A,[1]Sayfa1!$G:$M,7,0)</f>
        <v>ORDU</v>
      </c>
      <c r="L1107" t="str">
        <f>VLOOKUP(A:A,[1]Sayfa1!$G:$L,6,0)</f>
        <v>ÜNYE</v>
      </c>
      <c r="M1107" s="3">
        <v>1</v>
      </c>
      <c r="N1107" s="3">
        <v>1</v>
      </c>
      <c r="O1107" s="10">
        <v>0</v>
      </c>
      <c r="P1107" s="3">
        <v>0</v>
      </c>
    </row>
    <row r="1108" spans="1:16" x14ac:dyDescent="0.3">
      <c r="A1108" s="6" t="s">
        <v>3893</v>
      </c>
      <c r="B1108" s="6" t="s">
        <v>3894</v>
      </c>
      <c r="C1108" s="2" t="s">
        <v>18</v>
      </c>
      <c r="D1108" s="6">
        <v>41.124644400000001</v>
      </c>
      <c r="E1108" s="6">
        <v>37.282447099999999</v>
      </c>
      <c r="G1108" s="7" t="s">
        <v>1031</v>
      </c>
      <c r="H1108" s="7" t="s">
        <v>1031</v>
      </c>
      <c r="I1108" s="7" t="s">
        <v>1031</v>
      </c>
      <c r="J1108" t="str">
        <f>VLOOKUP(A:A,[1]Sayfa1!$G:$K,5,0)</f>
        <v>KALEDERE MAH. NİKSAR CAD. NO:88 ÜNYE ORDU</v>
      </c>
      <c r="K1108" t="str">
        <f>VLOOKUP(A:A,[1]Sayfa1!$G:$M,7,0)</f>
        <v>ORDU</v>
      </c>
      <c r="L1108" t="str">
        <f>VLOOKUP(A:A,[1]Sayfa1!$G:$L,6,0)</f>
        <v>ÜNYE</v>
      </c>
      <c r="M1108" s="3">
        <v>1</v>
      </c>
      <c r="N1108" s="3">
        <v>1</v>
      </c>
      <c r="O1108" s="10">
        <v>0</v>
      </c>
      <c r="P1108" s="3">
        <v>0</v>
      </c>
    </row>
    <row r="1109" spans="1:16" x14ac:dyDescent="0.3">
      <c r="A1109" s="6" t="s">
        <v>3895</v>
      </c>
      <c r="B1109" s="6" t="s">
        <v>3896</v>
      </c>
      <c r="C1109" s="2" t="s">
        <v>18</v>
      </c>
      <c r="D1109" s="6">
        <v>41.2091493</v>
      </c>
      <c r="E1109" s="6">
        <v>36.971351599999998</v>
      </c>
      <c r="G1109" s="7" t="s">
        <v>1031</v>
      </c>
      <c r="H1109" s="7" t="s">
        <v>1031</v>
      </c>
      <c r="I1109" s="7" t="s">
        <v>1031</v>
      </c>
      <c r="J1109" t="str">
        <f>VLOOKUP(A:A,[1]Sayfa1!$G:$K,5,0)</f>
        <v>3573 FENK MH.KARAKOL SK.NO:5 TERME SAMSUN</v>
      </c>
      <c r="K1109" t="str">
        <f>VLOOKUP(A:A,[1]Sayfa1!$G:$M,7,0)</f>
        <v>SAMSUN</v>
      </c>
      <c r="L1109" t="str">
        <f>VLOOKUP(A:A,[1]Sayfa1!$G:$L,6,0)</f>
        <v>TERME</v>
      </c>
      <c r="M1109" s="3">
        <v>1</v>
      </c>
      <c r="N1109" s="3">
        <v>1</v>
      </c>
      <c r="O1109" s="10">
        <v>0</v>
      </c>
      <c r="P1109" s="3">
        <v>0</v>
      </c>
    </row>
    <row r="1110" spans="1:16" x14ac:dyDescent="0.3">
      <c r="A1110" s="6" t="s">
        <v>3897</v>
      </c>
      <c r="B1110" s="6" t="s">
        <v>3898</v>
      </c>
      <c r="C1110" s="2" t="s">
        <v>18</v>
      </c>
      <c r="D1110" s="6">
        <v>41.122001500000003</v>
      </c>
      <c r="E1110" s="6">
        <v>37.2927654</v>
      </c>
      <c r="G1110" s="7" t="s">
        <v>1031</v>
      </c>
      <c r="H1110" s="7" t="s">
        <v>1031</v>
      </c>
      <c r="I1110" s="7" t="s">
        <v>1031</v>
      </c>
      <c r="J1110" t="str">
        <f>VLOOKUP(A:A,[1]Sayfa1!$G:$K,5,0)</f>
        <v>FEVZİ ÇAKMAK MH. İPEKYOLU CD. NO:12/1 ADRES KODU:2947310609 ÜNYE ORDU</v>
      </c>
      <c r="K1110" t="str">
        <f>VLOOKUP(A:A,[1]Sayfa1!$G:$M,7,0)</f>
        <v>ORDU</v>
      </c>
      <c r="L1110" t="str">
        <f>VLOOKUP(A:A,[1]Sayfa1!$G:$L,6,0)</f>
        <v>ÜNYE</v>
      </c>
      <c r="M1110" s="3">
        <v>1</v>
      </c>
      <c r="N1110" s="3">
        <v>1</v>
      </c>
      <c r="O1110" s="10">
        <v>0</v>
      </c>
      <c r="P1110" s="3">
        <v>0</v>
      </c>
    </row>
    <row r="1111" spans="1:16" x14ac:dyDescent="0.3">
      <c r="A1111" s="6" t="s">
        <v>3899</v>
      </c>
      <c r="B1111" s="6" t="s">
        <v>3900</v>
      </c>
      <c r="C1111" s="2" t="s">
        <v>18</v>
      </c>
      <c r="D1111" s="6">
        <v>41.1205791</v>
      </c>
      <c r="E1111" s="6">
        <v>37.280631100000001</v>
      </c>
      <c r="G1111" s="7" t="s">
        <v>1031</v>
      </c>
      <c r="H1111" s="7" t="s">
        <v>1031</v>
      </c>
      <c r="I1111" s="7" t="s">
        <v>1031</v>
      </c>
      <c r="J1111" t="str">
        <f>VLOOKUP(A:A,[1]Sayfa1!$G:$K,5,0)</f>
        <v>BAYRAMCA MH. Ş.CEMAL MUTLU SK. NO:15/A ÜNYE ORDU</v>
      </c>
      <c r="K1111" t="str">
        <f>VLOOKUP(A:A,[1]Sayfa1!$G:$M,7,0)</f>
        <v>ORDU</v>
      </c>
      <c r="L1111" t="str">
        <f>VLOOKUP(A:A,[1]Sayfa1!$G:$L,6,0)</f>
        <v>ÜNYE</v>
      </c>
      <c r="M1111" s="3">
        <v>1</v>
      </c>
      <c r="N1111" s="3">
        <v>1</v>
      </c>
      <c r="O1111" s="10">
        <v>0</v>
      </c>
      <c r="P1111" s="3">
        <v>0</v>
      </c>
    </row>
    <row r="1112" spans="1:16" x14ac:dyDescent="0.3">
      <c r="A1112" s="6" t="s">
        <v>3901</v>
      </c>
      <c r="B1112" s="6" t="s">
        <v>3902</v>
      </c>
      <c r="C1112" s="2" t="s">
        <v>18</v>
      </c>
      <c r="D1112" s="6">
        <v>41.207077599999998</v>
      </c>
      <c r="E1112" s="6">
        <v>36.967302799999999</v>
      </c>
      <c r="G1112" s="7" t="s">
        <v>1031</v>
      </c>
      <c r="H1112" s="7" t="s">
        <v>1031</v>
      </c>
      <c r="I1112" s="7" t="s">
        <v>1031</v>
      </c>
      <c r="J1112" t="str">
        <f>VLOOKUP(A:A,[1]Sayfa1!$G:$K,5,0)</f>
        <v>FENK MAH. FİSKOBİRLİK CAD. GÜZEL SOK. NO:79/B TERME SAMSUN</v>
      </c>
      <c r="K1112" t="str">
        <f>VLOOKUP(A:A,[1]Sayfa1!$G:$M,7,0)</f>
        <v>SAMSUN</v>
      </c>
      <c r="L1112" t="str">
        <f>VLOOKUP(A:A,[1]Sayfa1!$G:$L,6,0)</f>
        <v>TERME</v>
      </c>
      <c r="M1112" s="3">
        <v>1</v>
      </c>
      <c r="N1112" s="3">
        <v>1</v>
      </c>
      <c r="O1112" s="10">
        <v>0</v>
      </c>
      <c r="P1112" s="3">
        <v>0</v>
      </c>
    </row>
    <row r="1113" spans="1:16" x14ac:dyDescent="0.3">
      <c r="A1113" s="6" t="s">
        <v>3903</v>
      </c>
      <c r="B1113" s="6" t="s">
        <v>3904</v>
      </c>
      <c r="C1113" s="2" t="s">
        <v>18</v>
      </c>
      <c r="D1113" s="6">
        <v>41.1429823</v>
      </c>
      <c r="E1113" s="6">
        <v>37.266042400000003</v>
      </c>
      <c r="G1113" s="7" t="s">
        <v>1031</v>
      </c>
      <c r="H1113" s="7" t="s">
        <v>1031</v>
      </c>
      <c r="I1113" s="7" t="s">
        <v>1031</v>
      </c>
      <c r="J1113" t="str">
        <f>VLOOKUP(A:A,[1]Sayfa1!$G:$K,5,0)</f>
        <v>ATATÜRK MH. DEVLET SAHİL YOLU MAVİ DENİZ ST. A BLOK NO:787/A ADRES KODU: 1602173187 ÜNYE ORDU</v>
      </c>
      <c r="K1113" t="str">
        <f>VLOOKUP(A:A,[1]Sayfa1!$G:$M,7,0)</f>
        <v>ORDU</v>
      </c>
      <c r="L1113" t="str">
        <f>VLOOKUP(A:A,[1]Sayfa1!$G:$L,6,0)</f>
        <v>ÜNYE</v>
      </c>
      <c r="M1113" s="3">
        <v>1</v>
      </c>
      <c r="N1113" s="3">
        <v>1</v>
      </c>
      <c r="O1113" s="10">
        <v>0</v>
      </c>
      <c r="P1113" s="3">
        <v>0</v>
      </c>
    </row>
    <row r="1114" spans="1:16" x14ac:dyDescent="0.3">
      <c r="A1114" s="6" t="s">
        <v>3905</v>
      </c>
      <c r="B1114" s="6" t="s">
        <v>3906</v>
      </c>
      <c r="C1114" s="2" t="s">
        <v>18</v>
      </c>
      <c r="D1114" s="6">
        <v>41.133287199999998</v>
      </c>
      <c r="E1114" s="6">
        <v>37.284798100000003</v>
      </c>
      <c r="G1114" s="7" t="s">
        <v>1031</v>
      </c>
      <c r="H1114" s="7" t="s">
        <v>1031</v>
      </c>
      <c r="I1114" s="7" t="s">
        <v>1031</v>
      </c>
      <c r="J1114" t="str">
        <f>VLOOKUP(A:A,[1]Sayfa1!$G:$K,5,0)</f>
        <v>ÇAMURLU MH. ÇUBUKÇU ARİF SK. NO:3/A ÜNYE ORDU</v>
      </c>
      <c r="K1114" t="str">
        <f>VLOOKUP(A:A,[1]Sayfa1!$G:$M,7,0)</f>
        <v>ORDU</v>
      </c>
      <c r="L1114" t="str">
        <f>VLOOKUP(A:A,[1]Sayfa1!$G:$L,6,0)</f>
        <v>ÜNYE</v>
      </c>
      <c r="M1114" s="3">
        <v>1</v>
      </c>
      <c r="N1114" s="3">
        <v>1</v>
      </c>
      <c r="O1114" s="10">
        <v>0</v>
      </c>
      <c r="P1114" s="3">
        <v>0</v>
      </c>
    </row>
    <row r="1115" spans="1:16" x14ac:dyDescent="0.3">
      <c r="A1115" s="6" t="s">
        <v>3907</v>
      </c>
      <c r="B1115" s="6" t="s">
        <v>3908</v>
      </c>
      <c r="C1115" s="2" t="s">
        <v>18</v>
      </c>
      <c r="D1115" s="6">
        <v>41.125616399999998</v>
      </c>
      <c r="E1115" s="6">
        <v>37.275390000000002</v>
      </c>
      <c r="G1115" s="7" t="s">
        <v>1031</v>
      </c>
      <c r="H1115" s="7" t="s">
        <v>1031</v>
      </c>
      <c r="I1115" s="7" t="s">
        <v>1031</v>
      </c>
      <c r="J1115" t="str">
        <f>VLOOKUP(A:A,[1]Sayfa1!$G:$K,5,0)</f>
        <v>ÇINARLIK MH. MEHMETÇİK SK. NO:22/7 ÜNYE ORDU</v>
      </c>
      <c r="K1115" t="str">
        <f>VLOOKUP(A:A,[1]Sayfa1!$G:$M,7,0)</f>
        <v>ORDU</v>
      </c>
      <c r="L1115" t="str">
        <f>VLOOKUP(A:A,[1]Sayfa1!$G:$L,6,0)</f>
        <v>ÜNYE</v>
      </c>
      <c r="M1115" s="3">
        <v>1</v>
      </c>
      <c r="N1115" s="3">
        <v>1</v>
      </c>
      <c r="O1115" s="10">
        <v>0</v>
      </c>
      <c r="P1115" s="3">
        <v>0</v>
      </c>
    </row>
    <row r="1116" spans="1:16" x14ac:dyDescent="0.3">
      <c r="A1116" s="6" t="s">
        <v>3909</v>
      </c>
      <c r="B1116" s="6" t="s">
        <v>3910</v>
      </c>
      <c r="C1116" s="2" t="s">
        <v>18</v>
      </c>
      <c r="D1116" s="6">
        <v>41.0537408</v>
      </c>
      <c r="E1116" s="6">
        <v>37.076577899999997</v>
      </c>
      <c r="G1116" s="7" t="s">
        <v>1031</v>
      </c>
      <c r="H1116" s="7" t="s">
        <v>1031</v>
      </c>
      <c r="I1116" s="7" t="s">
        <v>1031</v>
      </c>
      <c r="J1116" t="str">
        <f>VLOOKUP(A:A,[1]Sayfa1!$G:$K,5,0)</f>
        <v>MERKEZ MH. TATAROĞLU SK. NO:1/A IKIZCE ORDU</v>
      </c>
      <c r="K1116" t="str">
        <f>VLOOKUP(A:A,[1]Sayfa1!$G:$M,7,0)</f>
        <v>ORDU</v>
      </c>
      <c r="L1116" t="str">
        <f>VLOOKUP(A:A,[1]Sayfa1!$G:$L,6,0)</f>
        <v>IKIZCE</v>
      </c>
      <c r="M1116" s="3">
        <v>1</v>
      </c>
      <c r="N1116" s="3">
        <v>1</v>
      </c>
      <c r="O1116" s="10">
        <v>0</v>
      </c>
      <c r="P1116" s="3">
        <v>0</v>
      </c>
    </row>
    <row r="1117" spans="1:16" x14ac:dyDescent="0.3">
      <c r="A1117" s="6" t="s">
        <v>3911</v>
      </c>
      <c r="B1117" s="6" t="s">
        <v>3912</v>
      </c>
      <c r="C1117" s="2" t="s">
        <v>18</v>
      </c>
      <c r="D1117" s="6">
        <v>41.140171799999997</v>
      </c>
      <c r="E1117" s="6">
        <v>37.292979099999997</v>
      </c>
      <c r="G1117" s="7" t="s">
        <v>1031</v>
      </c>
      <c r="H1117" s="7" t="s">
        <v>1031</v>
      </c>
      <c r="I1117" s="7" t="s">
        <v>1031</v>
      </c>
      <c r="J1117" t="str">
        <f>VLOOKUP(A:A,[1]Sayfa1!$G:$K,5,0)</f>
        <v>BURUNCU MH. TAŞHANE SK. NO:22/A ÜNYE ORDU</v>
      </c>
      <c r="K1117" t="str">
        <f>VLOOKUP(A:A,[1]Sayfa1!$G:$M,7,0)</f>
        <v>ORDU</v>
      </c>
      <c r="L1117" t="str">
        <f>VLOOKUP(A:A,[1]Sayfa1!$G:$L,6,0)</f>
        <v>ÜNYE</v>
      </c>
      <c r="M1117" s="3">
        <v>1</v>
      </c>
      <c r="N1117" s="3">
        <v>1</v>
      </c>
      <c r="O1117" s="10">
        <v>0</v>
      </c>
      <c r="P1117" s="3">
        <v>0</v>
      </c>
    </row>
    <row r="1118" spans="1:16" x14ac:dyDescent="0.3">
      <c r="A1118" s="6" t="s">
        <v>3913</v>
      </c>
      <c r="B1118" s="6" t="s">
        <v>3914</v>
      </c>
      <c r="C1118" s="2" t="s">
        <v>18</v>
      </c>
      <c r="D1118" s="6">
        <v>40.794567200000003</v>
      </c>
      <c r="E1118" s="6">
        <v>37.0179063</v>
      </c>
      <c r="G1118" s="7" t="s">
        <v>1031</v>
      </c>
      <c r="H1118" s="7" t="s">
        <v>1031</v>
      </c>
      <c r="I1118" s="7" t="s">
        <v>1031</v>
      </c>
      <c r="J1118" t="str">
        <f>VLOOKUP(A:A,[1]Sayfa1!$G:$K,5,0)</f>
        <v>MERKEZ MH. İSTİKLAL CD. NO:17/15-A AKKUS ORDU</v>
      </c>
      <c r="K1118" t="str">
        <f>VLOOKUP(A:A,[1]Sayfa1!$G:$M,7,0)</f>
        <v>ORDU</v>
      </c>
      <c r="L1118" t="str">
        <f>VLOOKUP(A:A,[1]Sayfa1!$G:$L,6,0)</f>
        <v>AKKUS</v>
      </c>
      <c r="M1118" s="3">
        <v>1</v>
      </c>
      <c r="N1118" s="3">
        <v>1</v>
      </c>
      <c r="O1118" s="10">
        <v>0</v>
      </c>
      <c r="P1118" s="3">
        <v>0</v>
      </c>
    </row>
    <row r="1119" spans="1:16" x14ac:dyDescent="0.3">
      <c r="A1119" s="6" t="s">
        <v>3915</v>
      </c>
      <c r="B1119" s="6" t="s">
        <v>3916</v>
      </c>
      <c r="C1119" s="2" t="s">
        <v>18</v>
      </c>
      <c r="D1119" s="6">
        <v>41.017555799999997</v>
      </c>
      <c r="E1119" s="6">
        <v>37.099438499999998</v>
      </c>
      <c r="G1119" s="7" t="s">
        <v>1031</v>
      </c>
      <c r="H1119" s="7" t="s">
        <v>1031</v>
      </c>
      <c r="I1119" s="7" t="s">
        <v>1031</v>
      </c>
      <c r="J1119" t="str">
        <f>VLOOKUP(A:A,[1]Sayfa1!$G:$K,5,0)</f>
        <v>ÇINAR MH. TALİP BAYRAK CD. NO:20/1 ÇAYBASI ORDU</v>
      </c>
      <c r="K1119" t="str">
        <f>VLOOKUP(A:A,[1]Sayfa1!$G:$M,7,0)</f>
        <v>ORDU</v>
      </c>
      <c r="L1119" t="str">
        <f>VLOOKUP(A:A,[1]Sayfa1!$G:$L,6,0)</f>
        <v>ÇAYBASI</v>
      </c>
      <c r="M1119" s="3">
        <v>1</v>
      </c>
      <c r="N1119" s="3">
        <v>1</v>
      </c>
      <c r="O1119" s="10">
        <v>0</v>
      </c>
      <c r="P1119" s="3">
        <v>0</v>
      </c>
    </row>
    <row r="1120" spans="1:16" x14ac:dyDescent="0.3">
      <c r="A1120" s="6" t="s">
        <v>3917</v>
      </c>
      <c r="B1120" s="6" t="s">
        <v>3918</v>
      </c>
      <c r="C1120" s="2" t="s">
        <v>18</v>
      </c>
      <c r="D1120" s="6">
        <v>40.945386300000003</v>
      </c>
      <c r="E1120" s="6">
        <v>37.006861800000003</v>
      </c>
      <c r="G1120" s="7" t="s">
        <v>1031</v>
      </c>
      <c r="H1120" s="7" t="s">
        <v>1031</v>
      </c>
      <c r="I1120" s="7" t="s">
        <v>1031</v>
      </c>
      <c r="J1120" t="str">
        <f>VLOOKUP(A:A,[1]Sayfa1!$G:$K,5,0)</f>
        <v>İLKÜVEZ MH. ÜNYE CD. NO:40/1-A ÇAYBASI ORDU</v>
      </c>
      <c r="K1120" t="str">
        <f>VLOOKUP(A:A,[1]Sayfa1!$G:$M,7,0)</f>
        <v>ORDU</v>
      </c>
      <c r="L1120" t="str">
        <f>VLOOKUP(A:A,[1]Sayfa1!$G:$L,6,0)</f>
        <v>ÇAYBASI</v>
      </c>
      <c r="M1120" s="3">
        <v>1</v>
      </c>
      <c r="N1120" s="3">
        <v>1</v>
      </c>
      <c r="O1120" s="10">
        <v>0</v>
      </c>
      <c r="P1120" s="3">
        <v>0</v>
      </c>
    </row>
    <row r="1121" spans="1:16" x14ac:dyDescent="0.3">
      <c r="A1121" s="6" t="s">
        <v>3919</v>
      </c>
      <c r="B1121" s="6" t="s">
        <v>3920</v>
      </c>
      <c r="C1121" s="2" t="s">
        <v>18</v>
      </c>
      <c r="D1121" s="6">
        <v>41.1191782</v>
      </c>
      <c r="E1121" s="6">
        <v>37.270627300000001</v>
      </c>
      <c r="G1121" s="7" t="s">
        <v>1031</v>
      </c>
      <c r="H1121" s="7" t="s">
        <v>1031</v>
      </c>
      <c r="I1121" s="7" t="s">
        <v>1031</v>
      </c>
      <c r="J1121" t="str">
        <f>VLOOKUP(A:A,[1]Sayfa1!$G:$K,5,0)</f>
        <v>SARAÇLI MAH. AKKUŞ NİKSAR CAD. NO: 275 A ÜNYE ORDU</v>
      </c>
      <c r="K1121" t="str">
        <f>VLOOKUP(A:A,[1]Sayfa1!$G:$M,7,0)</f>
        <v>ORDU</v>
      </c>
      <c r="L1121" t="str">
        <f>VLOOKUP(A:A,[1]Sayfa1!$G:$L,6,0)</f>
        <v>ÜNYE</v>
      </c>
      <c r="M1121" s="3">
        <v>1</v>
      </c>
      <c r="N1121" s="3">
        <v>1</v>
      </c>
      <c r="O1121" s="10">
        <v>0</v>
      </c>
      <c r="P1121" s="3">
        <v>0</v>
      </c>
    </row>
    <row r="1122" spans="1:16" x14ac:dyDescent="0.3">
      <c r="A1122" s="6" t="s">
        <v>3921</v>
      </c>
      <c r="B1122" s="6" t="s">
        <v>3922</v>
      </c>
      <c r="C1122" s="2" t="s">
        <v>18</v>
      </c>
      <c r="D1122" s="6">
        <v>41.130175299999998</v>
      </c>
      <c r="E1122" s="6">
        <v>37.281759700000002</v>
      </c>
      <c r="G1122" s="7" t="s">
        <v>1031</v>
      </c>
      <c r="H1122" s="7" t="s">
        <v>1031</v>
      </c>
      <c r="I1122" s="7" t="s">
        <v>1031</v>
      </c>
      <c r="J1122" t="str">
        <f>VLOOKUP(A:A,[1]Sayfa1!$G:$K,5,0)</f>
        <v>HAMİDİYE MAH. HACI EMİN CAD. NO: 48 A BİNA KODU: 45021390 ADRES KODU :5419106306 ÜNYE ORDU</v>
      </c>
      <c r="K1122" t="str">
        <f>VLOOKUP(A:A,[1]Sayfa1!$G:$M,7,0)</f>
        <v>ORDU</v>
      </c>
      <c r="L1122" t="str">
        <f>VLOOKUP(A:A,[1]Sayfa1!$G:$L,6,0)</f>
        <v>ÜNYE</v>
      </c>
      <c r="M1122" s="3">
        <v>1</v>
      </c>
      <c r="N1122" s="3">
        <v>1</v>
      </c>
      <c r="O1122" s="10">
        <v>0</v>
      </c>
      <c r="P1122" s="3">
        <v>0</v>
      </c>
    </row>
    <row r="1123" spans="1:16" x14ac:dyDescent="0.3">
      <c r="A1123" s="6" t="s">
        <v>3923</v>
      </c>
      <c r="B1123" s="6" t="s">
        <v>3924</v>
      </c>
      <c r="C1123" s="2" t="s">
        <v>18</v>
      </c>
      <c r="D1123" s="6">
        <v>41.115223</v>
      </c>
      <c r="E1123" s="6">
        <v>37.3183978</v>
      </c>
      <c r="G1123" s="7" t="s">
        <v>1031</v>
      </c>
      <c r="H1123" s="7" t="s">
        <v>1031</v>
      </c>
      <c r="I1123" s="7" t="s">
        <v>1031</v>
      </c>
      <c r="J1123" t="str">
        <f>VLOOKUP(A:A,[1]Sayfa1!$G:$K,5,0)</f>
        <v>NURİYE MH. DEVLET SAHİL YOLU CD. NO:75/A ÜNYE ORDU</v>
      </c>
      <c r="K1123" t="str">
        <f>VLOOKUP(A:A,[1]Sayfa1!$G:$M,7,0)</f>
        <v>ORDU</v>
      </c>
      <c r="L1123" t="str">
        <f>VLOOKUP(A:A,[1]Sayfa1!$G:$L,6,0)</f>
        <v>ÜNYE</v>
      </c>
      <c r="M1123" s="3">
        <v>1</v>
      </c>
      <c r="N1123" s="3">
        <v>1</v>
      </c>
      <c r="O1123" s="10">
        <v>0</v>
      </c>
      <c r="P1123" s="3">
        <v>0</v>
      </c>
    </row>
    <row r="1124" spans="1:16" x14ac:dyDescent="0.3">
      <c r="A1124" s="6" t="s">
        <v>3925</v>
      </c>
      <c r="B1124" s="6" t="s">
        <v>3926</v>
      </c>
      <c r="C1124" s="2" t="s">
        <v>18</v>
      </c>
      <c r="D1124" s="6">
        <v>41.142384999999997</v>
      </c>
      <c r="E1124" s="6">
        <v>37.241071400000003</v>
      </c>
      <c r="G1124" s="7" t="s">
        <v>1031</v>
      </c>
      <c r="H1124" s="7" t="s">
        <v>1031</v>
      </c>
      <c r="I1124" s="7" t="s">
        <v>1031</v>
      </c>
      <c r="J1124" t="str">
        <f>VLOOKUP(A:A,[1]Sayfa1!$G:$K,5,0)</f>
        <v>GÖLEVİ MAH.TOKİ 1. SOK. ÇARŞI KONUTLARI SİT. C BLOK APT. NO: 22 CB BİNA KODU :38143776 ADRES KODU : 5226492238 ÜNYE ORDU</v>
      </c>
      <c r="K1124" t="str">
        <f>VLOOKUP(A:A,[1]Sayfa1!$G:$M,7,0)</f>
        <v>ORDU</v>
      </c>
      <c r="L1124" t="str">
        <f>VLOOKUP(A:A,[1]Sayfa1!$G:$L,6,0)</f>
        <v>ÜNYE</v>
      </c>
      <c r="M1124" s="3">
        <v>1</v>
      </c>
      <c r="N1124" s="3">
        <v>1</v>
      </c>
      <c r="O1124" s="10">
        <v>0</v>
      </c>
      <c r="P1124" s="3">
        <v>0</v>
      </c>
    </row>
    <row r="1125" spans="1:16" x14ac:dyDescent="0.3">
      <c r="A1125" s="6" t="s">
        <v>3927</v>
      </c>
      <c r="B1125" s="6" t="s">
        <v>3928</v>
      </c>
      <c r="C1125" s="2" t="s">
        <v>18</v>
      </c>
      <c r="D1125" s="6">
        <v>41.141817799999998</v>
      </c>
      <c r="E1125" s="6">
        <v>37.276818599999999</v>
      </c>
      <c r="G1125" s="7" t="s">
        <v>1031</v>
      </c>
      <c r="H1125" s="7" t="s">
        <v>1031</v>
      </c>
      <c r="I1125" s="7" t="s">
        <v>1031</v>
      </c>
      <c r="J1125" t="str">
        <f>VLOOKUP(A:A,[1]Sayfa1!$G:$K,5,0)</f>
        <v>ATATÜRK MAH. YASEMİN SK. NO:38 A -38 B ÜNYE ORDU</v>
      </c>
      <c r="K1125" t="str">
        <f>VLOOKUP(A:A,[1]Sayfa1!$G:$M,7,0)</f>
        <v>ORDU</v>
      </c>
      <c r="L1125" t="str">
        <f>VLOOKUP(A:A,[1]Sayfa1!$G:$L,6,0)</f>
        <v>ÜNYE</v>
      </c>
      <c r="M1125" s="3">
        <v>1</v>
      </c>
      <c r="N1125" s="3">
        <v>1</v>
      </c>
      <c r="O1125" s="10">
        <v>0</v>
      </c>
      <c r="P1125" s="3">
        <v>0</v>
      </c>
    </row>
    <row r="1126" spans="1:16" x14ac:dyDescent="0.3">
      <c r="A1126" s="6" t="s">
        <v>3929</v>
      </c>
      <c r="B1126" s="6" t="s">
        <v>3930</v>
      </c>
      <c r="C1126" s="2" t="s">
        <v>18</v>
      </c>
      <c r="D1126" s="6">
        <v>41.1204331</v>
      </c>
      <c r="E1126" s="6">
        <v>37.284635999999999</v>
      </c>
      <c r="G1126" s="7" t="s">
        <v>1031</v>
      </c>
      <c r="H1126" s="7" t="s">
        <v>1031</v>
      </c>
      <c r="I1126" s="7" t="s">
        <v>1031</v>
      </c>
      <c r="J1126" t="str">
        <f>VLOOKUP(A:A,[1]Sayfa1!$G:$K,5,0)</f>
        <v>İPEKYOLU MAH. ŞHT.MEHMET AKSU SOK. NO: 25 A ÜNYE ORDU</v>
      </c>
      <c r="K1126" t="str">
        <f>VLOOKUP(A:A,[1]Sayfa1!$G:$M,7,0)</f>
        <v>ORDU</v>
      </c>
      <c r="L1126" t="str">
        <f>VLOOKUP(A:A,[1]Sayfa1!$G:$L,6,0)</f>
        <v>ÜNYE</v>
      </c>
      <c r="M1126" s="3">
        <v>1</v>
      </c>
      <c r="N1126" s="3">
        <v>1</v>
      </c>
      <c r="O1126" s="10">
        <v>0</v>
      </c>
      <c r="P1126" s="3">
        <v>0</v>
      </c>
    </row>
    <row r="1127" spans="1:16" x14ac:dyDescent="0.3">
      <c r="A1127" s="6" t="s">
        <v>3931</v>
      </c>
      <c r="B1127" s="6" t="s">
        <v>3932</v>
      </c>
      <c r="C1127" s="2" t="s">
        <v>18</v>
      </c>
      <c r="D1127" s="6">
        <v>41.2108512</v>
      </c>
      <c r="E1127" s="6">
        <v>36.968271399999999</v>
      </c>
      <c r="G1127" s="7" t="s">
        <v>1031</v>
      </c>
      <c r="H1127" s="7" t="s">
        <v>1031</v>
      </c>
      <c r="I1127" s="7" t="s">
        <v>1031</v>
      </c>
      <c r="J1127" t="str">
        <f>VLOOKUP(A:A,[1]Sayfa1!$G:$K,5,0)</f>
        <v>FENK MAH. ÇARŞAMBA CAD. NO:39 TERME SAMSUN</v>
      </c>
      <c r="K1127" t="str">
        <f>VLOOKUP(A:A,[1]Sayfa1!$G:$M,7,0)</f>
        <v>SAMSUN</v>
      </c>
      <c r="L1127" t="str">
        <f>VLOOKUP(A:A,[1]Sayfa1!$G:$L,6,0)</f>
        <v>TERME</v>
      </c>
      <c r="M1127" s="3">
        <v>1</v>
      </c>
      <c r="N1127" s="3">
        <v>1</v>
      </c>
      <c r="O1127" s="10">
        <v>0</v>
      </c>
      <c r="P1127" s="3">
        <v>0</v>
      </c>
    </row>
    <row r="1128" spans="1:16" x14ac:dyDescent="0.3">
      <c r="A1128" s="6" t="s">
        <v>3933</v>
      </c>
      <c r="B1128" s="6" t="s">
        <v>3934</v>
      </c>
      <c r="C1128" s="2" t="s">
        <v>18</v>
      </c>
      <c r="D1128" s="6">
        <v>41.204416899999998</v>
      </c>
      <c r="E1128" s="6">
        <v>36.972906799999997</v>
      </c>
      <c r="G1128" s="7" t="s">
        <v>1031</v>
      </c>
      <c r="H1128" s="7" t="s">
        <v>1031</v>
      </c>
      <c r="I1128" s="7" t="s">
        <v>1031</v>
      </c>
      <c r="J1128" t="str">
        <f>VLOOKUP(A:A,[1]Sayfa1!$G:$K,5,0)</f>
        <v>ÇAY MAH. KOCAMAN CAD. NO:51 A  TERME SAMSUN</v>
      </c>
      <c r="K1128" t="str">
        <f>VLOOKUP(A:A,[1]Sayfa1!$G:$M,7,0)</f>
        <v>SAMSUN</v>
      </c>
      <c r="L1128" t="str">
        <f>VLOOKUP(A:A,[1]Sayfa1!$G:$L,6,0)</f>
        <v>TERME</v>
      </c>
      <c r="M1128" s="3">
        <v>1</v>
      </c>
      <c r="N1128" s="3">
        <v>1</v>
      </c>
      <c r="O1128" s="10">
        <v>0</v>
      </c>
      <c r="P1128" s="3">
        <v>0</v>
      </c>
    </row>
    <row r="1129" spans="1:16" x14ac:dyDescent="0.3">
      <c r="A1129" s="6" t="s">
        <v>3935</v>
      </c>
      <c r="B1129" s="6" t="s">
        <v>3936</v>
      </c>
      <c r="C1129" s="2" t="s">
        <v>18</v>
      </c>
      <c r="D1129" s="6">
        <v>41.127754899999999</v>
      </c>
      <c r="E1129" s="6">
        <v>37.282640700000002</v>
      </c>
      <c r="G1129" s="7" t="s">
        <v>1031</v>
      </c>
      <c r="H1129" s="7" t="s">
        <v>1031</v>
      </c>
      <c r="I1129" s="7" t="s">
        <v>1031</v>
      </c>
      <c r="J1129" t="str">
        <f>VLOOKUP(A:A,[1]Sayfa1!$G:$K,5,0)</f>
        <v>KALEDERE MAH. ÖZNUR KARTAL CAD. NO:20B ÜNYE ORDU</v>
      </c>
      <c r="K1129" t="str">
        <f>VLOOKUP(A:A,[1]Sayfa1!$G:$M,7,0)</f>
        <v>ORDU</v>
      </c>
      <c r="L1129" t="str">
        <f>VLOOKUP(A:A,[1]Sayfa1!$G:$L,6,0)</f>
        <v>ÜNYE</v>
      </c>
      <c r="M1129" s="3">
        <v>1</v>
      </c>
      <c r="N1129" s="3">
        <v>1</v>
      </c>
      <c r="O1129" s="10">
        <v>0</v>
      </c>
      <c r="P1129" s="3">
        <v>0</v>
      </c>
    </row>
    <row r="1130" spans="1:16" x14ac:dyDescent="0.3">
      <c r="A1130" s="6" t="s">
        <v>3937</v>
      </c>
      <c r="B1130" s="6" t="s">
        <v>3938</v>
      </c>
      <c r="C1130" s="2" t="s">
        <v>18</v>
      </c>
      <c r="D1130" s="6">
        <v>41.154456799999998</v>
      </c>
      <c r="E1130" s="6">
        <v>37.106206100000001</v>
      </c>
      <c r="G1130" s="7" t="s">
        <v>1031</v>
      </c>
      <c r="H1130" s="7" t="s">
        <v>1031</v>
      </c>
      <c r="I1130" s="7" t="s">
        <v>1031</v>
      </c>
      <c r="J1130" t="str">
        <f>VLOOKUP(A:A,[1]Sayfa1!$G:$K,5,0)</f>
        <v>SAKARLI MAH. TERME ÜNYE CAD. NO:146B TERME SAMSUN</v>
      </c>
      <c r="K1130" t="str">
        <f>VLOOKUP(A:A,[1]Sayfa1!$G:$M,7,0)</f>
        <v>SAMSUN</v>
      </c>
      <c r="L1130" t="str">
        <f>VLOOKUP(A:A,[1]Sayfa1!$G:$L,6,0)</f>
        <v>TERME</v>
      </c>
      <c r="M1130" s="3">
        <v>1</v>
      </c>
      <c r="N1130" s="3">
        <v>1</v>
      </c>
      <c r="O1130" s="10">
        <v>0</v>
      </c>
      <c r="P1130" s="3">
        <v>0</v>
      </c>
    </row>
    <row r="1131" spans="1:16" x14ac:dyDescent="0.3">
      <c r="A1131" s="6" t="s">
        <v>3939</v>
      </c>
      <c r="B1131" s="6" t="s">
        <v>3940</v>
      </c>
      <c r="C1131" s="2" t="s">
        <v>18</v>
      </c>
      <c r="D1131" s="6">
        <v>41.207685900000001</v>
      </c>
      <c r="E1131" s="6">
        <v>36.996030900000001</v>
      </c>
      <c r="G1131" s="7" t="s">
        <v>1031</v>
      </c>
      <c r="H1131" s="7" t="s">
        <v>1031</v>
      </c>
      <c r="I1131" s="7" t="s">
        <v>1031</v>
      </c>
      <c r="J1131" t="str">
        <f>VLOOKUP(A:A,[1]Sayfa1!$G:$K,5,0)</f>
        <v>ÇAY MAH.SANAYİ BULVAR NO: 143 TERME SAMSUN</v>
      </c>
      <c r="K1131" t="str">
        <f>VLOOKUP(A:A,[1]Sayfa1!$G:$M,7,0)</f>
        <v>SAMSUN</v>
      </c>
      <c r="L1131" t="str">
        <f>VLOOKUP(A:A,[1]Sayfa1!$G:$L,6,0)</f>
        <v>TERME</v>
      </c>
      <c r="M1131" s="3">
        <v>1</v>
      </c>
      <c r="N1131" s="3">
        <v>1</v>
      </c>
      <c r="O1131" s="10">
        <v>0</v>
      </c>
      <c r="P1131" s="3">
        <v>0</v>
      </c>
    </row>
    <row r="1132" spans="1:16" x14ac:dyDescent="0.3">
      <c r="A1132" s="6" t="s">
        <v>3941</v>
      </c>
      <c r="B1132" s="6" t="s">
        <v>3942</v>
      </c>
      <c r="C1132" s="2" t="s">
        <v>18</v>
      </c>
      <c r="D1132" s="6">
        <v>41.143737799999997</v>
      </c>
      <c r="E1132" s="6">
        <v>37.277859999999997</v>
      </c>
      <c r="G1132" s="7" t="s">
        <v>1031</v>
      </c>
      <c r="H1132" s="7" t="s">
        <v>1031</v>
      </c>
      <c r="I1132" s="7" t="s">
        <v>1031</v>
      </c>
      <c r="J1132" t="str">
        <f>VLOOKUP(A:A,[1]Sayfa1!$G:$K,5,0)</f>
        <v>ATATÜRK MAH DEVLET SAHİL YOLU CD. NO:184/A ÜNYE ORDU</v>
      </c>
      <c r="K1132" t="str">
        <f>VLOOKUP(A:A,[1]Sayfa1!$G:$M,7,0)</f>
        <v>ORDU</v>
      </c>
      <c r="L1132" t="str">
        <f>VLOOKUP(A:A,[1]Sayfa1!$G:$L,6,0)</f>
        <v>ÜNYE</v>
      </c>
      <c r="M1132" s="3">
        <v>1</v>
      </c>
      <c r="N1132" s="3">
        <v>1</v>
      </c>
      <c r="O1132" s="10">
        <v>0</v>
      </c>
      <c r="P1132" s="3">
        <v>0</v>
      </c>
    </row>
    <row r="1133" spans="1:16" x14ac:dyDescent="0.3">
      <c r="A1133" s="6" t="s">
        <v>3943</v>
      </c>
      <c r="B1133" s="6" t="s">
        <v>3944</v>
      </c>
      <c r="C1133" s="2" t="s">
        <v>18</v>
      </c>
      <c r="D1133" s="6">
        <v>41.204408399999998</v>
      </c>
      <c r="E1133" s="6">
        <v>36.968935299999998</v>
      </c>
      <c r="G1133" s="7" t="s">
        <v>1031</v>
      </c>
      <c r="H1133" s="7" t="s">
        <v>1031</v>
      </c>
      <c r="I1133" s="7" t="s">
        <v>1031</v>
      </c>
      <c r="J1133" t="str">
        <f>VLOOKUP(A:A,[1]Sayfa1!$G:$K,5,0)</f>
        <v>YENİ MAH SARAY CAD. NO:72 TERME SAMSUN</v>
      </c>
      <c r="K1133" t="str">
        <f>VLOOKUP(A:A,[1]Sayfa1!$G:$M,7,0)</f>
        <v>SAMSUN</v>
      </c>
      <c r="L1133" t="str">
        <f>VLOOKUP(A:A,[1]Sayfa1!$G:$L,6,0)</f>
        <v>TERME</v>
      </c>
      <c r="M1133" s="3">
        <v>1</v>
      </c>
      <c r="N1133" s="3">
        <v>1</v>
      </c>
      <c r="O1133" s="10">
        <v>0</v>
      </c>
      <c r="P1133" s="3">
        <v>0</v>
      </c>
    </row>
    <row r="1134" spans="1:16" x14ac:dyDescent="0.3">
      <c r="A1134" s="6" t="s">
        <v>3945</v>
      </c>
      <c r="B1134" s="6" t="s">
        <v>3946</v>
      </c>
      <c r="C1134" s="2" t="s">
        <v>18</v>
      </c>
      <c r="D1134" s="6">
        <v>41.1440591</v>
      </c>
      <c r="E1134" s="6">
        <v>37.260314800000003</v>
      </c>
      <c r="G1134" s="7" t="s">
        <v>1031</v>
      </c>
      <c r="H1134" s="7" t="s">
        <v>1031</v>
      </c>
      <c r="I1134" s="7" t="s">
        <v>1031</v>
      </c>
      <c r="J1134" t="str">
        <f>VLOOKUP(A:A,[1]Sayfa1!$G:$K,5,0)</f>
        <v>GÖLEVİ MAH DEVLET SAHİL YOLU CAD. NO:835A ÜNYE ORDU</v>
      </c>
      <c r="K1134" t="str">
        <f>VLOOKUP(A:A,[1]Sayfa1!$G:$M,7,0)</f>
        <v>ORDU</v>
      </c>
      <c r="L1134" t="str">
        <f>VLOOKUP(A:A,[1]Sayfa1!$G:$L,6,0)</f>
        <v>ÜNYE</v>
      </c>
      <c r="M1134" s="3">
        <v>1</v>
      </c>
      <c r="N1134" s="3">
        <v>1</v>
      </c>
      <c r="O1134" s="10">
        <v>0</v>
      </c>
      <c r="P1134" s="3">
        <v>0</v>
      </c>
    </row>
    <row r="1135" spans="1:16" x14ac:dyDescent="0.3">
      <c r="A1135" s="6" t="s">
        <v>3947</v>
      </c>
      <c r="B1135" s="6" t="s">
        <v>3948</v>
      </c>
      <c r="C1135" s="2" t="s">
        <v>18</v>
      </c>
      <c r="D1135" s="6">
        <v>41.135134000000001</v>
      </c>
      <c r="E1135" s="6">
        <v>37.282420999999999</v>
      </c>
      <c r="G1135" s="7" t="s">
        <v>1031</v>
      </c>
      <c r="H1135" s="7" t="s">
        <v>1031</v>
      </c>
      <c r="I1135" s="7" t="s">
        <v>1031</v>
      </c>
      <c r="J1135" t="str">
        <f>VLOOKUP(A:A,[1]Sayfa1!$G:$K,5,0)</f>
        <v>ÇAMURLU MAH SARAY CAD. NO:69A ÜNYE ORDU</v>
      </c>
      <c r="K1135" t="str">
        <f>VLOOKUP(A:A,[1]Sayfa1!$G:$M,7,0)</f>
        <v>ORDU</v>
      </c>
      <c r="L1135" t="str">
        <f>VLOOKUP(A:A,[1]Sayfa1!$G:$L,6,0)</f>
        <v>ÜNYE</v>
      </c>
      <c r="M1135" s="3">
        <v>1</v>
      </c>
      <c r="N1135" s="3">
        <v>1</v>
      </c>
      <c r="O1135" s="10">
        <v>0</v>
      </c>
      <c r="P1135" s="3">
        <v>0</v>
      </c>
    </row>
    <row r="1136" spans="1:16" x14ac:dyDescent="0.3">
      <c r="A1136" s="6" t="s">
        <v>3949</v>
      </c>
      <c r="B1136" s="6" t="s">
        <v>3950</v>
      </c>
      <c r="C1136" s="2" t="s">
        <v>18</v>
      </c>
      <c r="D1136" s="6">
        <v>41.140415400000002</v>
      </c>
      <c r="E1136" s="6">
        <v>37.280981500000003</v>
      </c>
      <c r="G1136" s="7" t="s">
        <v>1031</v>
      </c>
      <c r="H1136" s="7" t="s">
        <v>1031</v>
      </c>
      <c r="I1136" s="7" t="s">
        <v>1031</v>
      </c>
      <c r="J1136" t="str">
        <f>VLOOKUP(A:A,[1]Sayfa1!$G:$K,5,0)</f>
        <v>ATATÜRK MAH HÜSEYİN KUŞÇU CAD. NO:32B ÜNYE ORDU</v>
      </c>
      <c r="K1136" t="str">
        <f>VLOOKUP(A:A,[1]Sayfa1!$G:$M,7,0)</f>
        <v>ORDU</v>
      </c>
      <c r="L1136" t="str">
        <f>VLOOKUP(A:A,[1]Sayfa1!$G:$L,6,0)</f>
        <v>ÜNYE</v>
      </c>
      <c r="M1136" s="3">
        <v>1</v>
      </c>
      <c r="N1136" s="3">
        <v>1</v>
      </c>
      <c r="O1136" s="10">
        <v>0</v>
      </c>
      <c r="P1136" s="3">
        <v>0</v>
      </c>
    </row>
    <row r="1137" spans="1:16" x14ac:dyDescent="0.3">
      <c r="A1137" s="6" t="s">
        <v>3951</v>
      </c>
      <c r="B1137" s="6" t="s">
        <v>3952</v>
      </c>
      <c r="C1137" s="2" t="s">
        <v>18</v>
      </c>
      <c r="D1137" s="6">
        <v>41.128780999999996</v>
      </c>
      <c r="E1137" s="6">
        <v>37.277379000000003</v>
      </c>
      <c r="G1137" s="7" t="s">
        <v>1031</v>
      </c>
      <c r="H1137" s="7" t="s">
        <v>1031</v>
      </c>
      <c r="I1137" s="7" t="s">
        <v>1031</v>
      </c>
      <c r="J1137" t="str">
        <f>VLOOKUP(A:A,[1]Sayfa1!$G:$K,5,0)</f>
        <v>ÇINARLIK MAH ŞAHİN HOCA SK. NO:10/1 ÜNYE ORDU</v>
      </c>
      <c r="K1137" t="str">
        <f>VLOOKUP(A:A,[1]Sayfa1!$G:$M,7,0)</f>
        <v>ORDU</v>
      </c>
      <c r="L1137" t="str">
        <f>VLOOKUP(A:A,[1]Sayfa1!$G:$L,6,0)</f>
        <v>ÜNYE</v>
      </c>
      <c r="M1137" s="3">
        <v>1</v>
      </c>
      <c r="N1137" s="3">
        <v>1</v>
      </c>
      <c r="O1137" s="10">
        <v>0</v>
      </c>
      <c r="P1137" s="3">
        <v>0</v>
      </c>
    </row>
    <row r="1138" spans="1:16" x14ac:dyDescent="0.3">
      <c r="A1138" s="6" t="s">
        <v>3953</v>
      </c>
      <c r="B1138" s="6" t="s">
        <v>3954</v>
      </c>
      <c r="C1138" s="2" t="s">
        <v>18</v>
      </c>
      <c r="D1138" s="6">
        <v>41.121616199999998</v>
      </c>
      <c r="E1138" s="6">
        <v>37.270871399999997</v>
      </c>
      <c r="G1138" s="7" t="s">
        <v>1031</v>
      </c>
      <c r="H1138" s="7" t="s">
        <v>1031</v>
      </c>
      <c r="I1138" s="7" t="s">
        <v>1031</v>
      </c>
      <c r="J1138" t="str">
        <f>VLOOKUP(A:A,[1]Sayfa1!$G:$K,5,0)</f>
        <v>SARAÇLI MAH GÜNEŞ SOK. NO:6/A ÜNYE ORDU</v>
      </c>
      <c r="K1138" t="str">
        <f>VLOOKUP(A:A,[1]Sayfa1!$G:$M,7,0)</f>
        <v>ORDU</v>
      </c>
      <c r="L1138" t="str">
        <f>VLOOKUP(A:A,[1]Sayfa1!$G:$L,6,0)</f>
        <v>ÜNYE</v>
      </c>
      <c r="M1138" s="3">
        <v>1</v>
      </c>
      <c r="N1138" s="3">
        <v>1</v>
      </c>
      <c r="O1138" s="10">
        <v>0</v>
      </c>
      <c r="P1138" s="3">
        <v>0</v>
      </c>
    </row>
    <row r="1139" spans="1:16" x14ac:dyDescent="0.3">
      <c r="A1139" s="6" t="s">
        <v>3955</v>
      </c>
      <c r="B1139" s="6" t="s">
        <v>3956</v>
      </c>
      <c r="C1139" s="2" t="s">
        <v>18</v>
      </c>
      <c r="D1139" s="6">
        <v>41.200540199999999</v>
      </c>
      <c r="E1139" s="6">
        <v>36.9714217</v>
      </c>
      <c r="G1139" s="7" t="s">
        <v>1031</v>
      </c>
      <c r="H1139" s="7" t="s">
        <v>1031</v>
      </c>
      <c r="I1139" s="7" t="s">
        <v>1031</v>
      </c>
      <c r="J1139" t="str">
        <f>VLOOKUP(A:A,[1]Sayfa1!$G:$K,5,0)</f>
        <v>YENİ MAH KOCAMAN CAD. NO:100A TERME SAMSUN</v>
      </c>
      <c r="K1139" t="str">
        <f>VLOOKUP(A:A,[1]Sayfa1!$G:$M,7,0)</f>
        <v>SAMSUN</v>
      </c>
      <c r="L1139" t="str">
        <f>VLOOKUP(A:A,[1]Sayfa1!$G:$L,6,0)</f>
        <v>TERME</v>
      </c>
      <c r="M1139" s="3">
        <v>1</v>
      </c>
      <c r="N1139" s="3">
        <v>1</v>
      </c>
      <c r="O1139" s="10">
        <v>0</v>
      </c>
      <c r="P1139" s="3">
        <v>0</v>
      </c>
    </row>
    <row r="1140" spans="1:16" x14ac:dyDescent="0.3">
      <c r="A1140" s="6" t="s">
        <v>3957</v>
      </c>
      <c r="B1140" s="6" t="s">
        <v>3958</v>
      </c>
      <c r="C1140" s="2" t="s">
        <v>18</v>
      </c>
      <c r="D1140" s="6">
        <v>0</v>
      </c>
      <c r="E1140" s="6">
        <v>0</v>
      </c>
      <c r="G1140" s="7" t="s">
        <v>1031</v>
      </c>
      <c r="H1140" s="7" t="s">
        <v>1031</v>
      </c>
      <c r="I1140" s="7" t="s">
        <v>1031</v>
      </c>
      <c r="J1140" t="str">
        <f>VLOOKUP(A:A,[1]Sayfa1!$G:$K,5,0)</f>
        <v>BAHÇELİEVLER MAH SAMSUN CAD. KARAÇUHA SOK. NO:42 TERME SAMSUN</v>
      </c>
      <c r="K1140" t="str">
        <f>VLOOKUP(A:A,[1]Sayfa1!$G:$M,7,0)</f>
        <v>SAMSUN</v>
      </c>
      <c r="L1140" t="str">
        <f>VLOOKUP(A:A,[1]Sayfa1!$G:$L,6,0)</f>
        <v>TERME</v>
      </c>
      <c r="M1140" s="3">
        <v>1</v>
      </c>
      <c r="N1140" s="3">
        <v>1</v>
      </c>
      <c r="O1140" s="10">
        <v>0</v>
      </c>
      <c r="P1140" s="3">
        <v>0</v>
      </c>
    </row>
    <row r="1141" spans="1:16" x14ac:dyDescent="0.3">
      <c r="A1141" s="6" t="s">
        <v>3959</v>
      </c>
      <c r="B1141" s="6" t="s">
        <v>3960</v>
      </c>
      <c r="C1141" s="2" t="s">
        <v>18</v>
      </c>
      <c r="D1141" s="6">
        <v>40.971093799999998</v>
      </c>
      <c r="E1141" s="6">
        <v>35.6645708</v>
      </c>
      <c r="G1141" s="7" t="s">
        <v>1031</v>
      </c>
      <c r="H1141" s="7" t="s">
        <v>1031</v>
      </c>
      <c r="I1141" s="7" t="s">
        <v>1031</v>
      </c>
      <c r="J1141" t="str">
        <f>VLOOKUP(A:A,[1]Sayfa1!$G:$K,5,0)</f>
        <v>25 MAYIS MAH. SEHiT YARBAY MESUT KURU CAD. 25 MAYIS iLKÖGRETiM OKULU KARSISI HAVZA SAMSUN</v>
      </c>
      <c r="K1141" t="str">
        <f>VLOOKUP(A:A,[1]Sayfa1!$G:$M,7,0)</f>
        <v>SAMSUN</v>
      </c>
      <c r="L1141" t="str">
        <f>VLOOKUP(A:A,[1]Sayfa1!$G:$L,6,0)</f>
        <v>HAVZA</v>
      </c>
      <c r="M1141" s="3">
        <v>1</v>
      </c>
      <c r="N1141" s="3">
        <v>1</v>
      </c>
      <c r="O1141" s="10">
        <v>0</v>
      </c>
      <c r="P1141" s="3">
        <v>0</v>
      </c>
    </row>
    <row r="1142" spans="1:16" x14ac:dyDescent="0.3">
      <c r="A1142" s="6" t="s">
        <v>3961</v>
      </c>
      <c r="B1142" s="6" t="s">
        <v>3962</v>
      </c>
      <c r="C1142" s="2" t="s">
        <v>18</v>
      </c>
      <c r="D1142" s="6">
        <v>41.1394655</v>
      </c>
      <c r="E1142" s="6">
        <v>35.463313399999997</v>
      </c>
      <c r="G1142" s="7" t="s">
        <v>1031</v>
      </c>
      <c r="H1142" s="7" t="s">
        <v>1031</v>
      </c>
      <c r="I1142" s="7" t="s">
        <v>1031</v>
      </c>
      <c r="J1142" t="str">
        <f>VLOOKUP(A:A,[1]Sayfa1!$G:$K,5,0)</f>
        <v>CUMHURİYET MAH. GENÇLİK 5. CAD. NO:41 VEZIRKÖPRÜ SAMSUN</v>
      </c>
      <c r="K1142" t="str">
        <f>VLOOKUP(A:A,[1]Sayfa1!$G:$M,7,0)</f>
        <v>SAMSUN</v>
      </c>
      <c r="L1142" t="str">
        <f>VLOOKUP(A:A,[1]Sayfa1!$G:$L,6,0)</f>
        <v>VEZIRKÖPRÜ</v>
      </c>
      <c r="M1142" s="3">
        <v>1</v>
      </c>
      <c r="N1142" s="3">
        <v>1</v>
      </c>
      <c r="O1142" s="10">
        <v>0</v>
      </c>
      <c r="P1142" s="3">
        <v>0</v>
      </c>
    </row>
    <row r="1143" spans="1:16" x14ac:dyDescent="0.3">
      <c r="A1143" s="6" t="s">
        <v>3963</v>
      </c>
      <c r="B1143" s="6" t="s">
        <v>3964</v>
      </c>
      <c r="C1143" s="2" t="s">
        <v>18</v>
      </c>
      <c r="D1143" s="6">
        <v>41.143065100000001</v>
      </c>
      <c r="E1143" s="6">
        <v>35.461032099999997</v>
      </c>
      <c r="G1143" s="7" t="s">
        <v>1031</v>
      </c>
      <c r="H1143" s="7" t="s">
        <v>1031</v>
      </c>
      <c r="I1143" s="7" t="s">
        <v>1031</v>
      </c>
      <c r="J1143" t="str">
        <f>VLOOKUP(A:A,[1]Sayfa1!$G:$K,5,0)</f>
        <v>FAZIL AHMET PAŞA MAH FAZIL MUSTAFA PAŞA CAD. NO:59 VEZIRKÖPRÜ SAMSUN</v>
      </c>
      <c r="K1143" t="str">
        <f>VLOOKUP(A:A,[1]Sayfa1!$G:$M,7,0)</f>
        <v>SAMSUN</v>
      </c>
      <c r="L1143" t="str">
        <f>VLOOKUP(A:A,[1]Sayfa1!$G:$L,6,0)</f>
        <v>VEZIRKÖPRÜ</v>
      </c>
      <c r="M1143" s="3">
        <v>1</v>
      </c>
      <c r="N1143" s="3">
        <v>1</v>
      </c>
      <c r="O1143" s="10">
        <v>0</v>
      </c>
      <c r="P1143" s="3">
        <v>0</v>
      </c>
    </row>
    <row r="1144" spans="1:16" x14ac:dyDescent="0.3">
      <c r="A1144" s="6" t="s">
        <v>3965</v>
      </c>
      <c r="B1144" s="6" t="s">
        <v>3966</v>
      </c>
      <c r="C1144" s="2" t="s">
        <v>18</v>
      </c>
      <c r="D1144" s="6">
        <v>41.071337200000002</v>
      </c>
      <c r="E1144" s="6">
        <v>36.030340799999998</v>
      </c>
      <c r="G1144" s="7" t="s">
        <v>1031</v>
      </c>
      <c r="H1144" s="7" t="s">
        <v>1031</v>
      </c>
      <c r="I1144" s="7" t="s">
        <v>1031</v>
      </c>
      <c r="J1144" t="str">
        <f>VLOOKUP(A:A,[1]Sayfa1!$G:$K,5,0)</f>
        <v>YAŞAR DOĞU MAH. ADNAN MENDERES CAD. NO:142/B KAVAK SAMSUN</v>
      </c>
      <c r="K1144" t="str">
        <f>VLOOKUP(A:A,[1]Sayfa1!$G:$M,7,0)</f>
        <v>SAMSUN</v>
      </c>
      <c r="L1144" t="str">
        <f>VLOOKUP(A:A,[1]Sayfa1!$G:$L,6,0)</f>
        <v>KAVAK</v>
      </c>
      <c r="M1144" s="3">
        <v>1</v>
      </c>
      <c r="N1144" s="3">
        <v>1</v>
      </c>
      <c r="O1144" s="10">
        <v>0</v>
      </c>
      <c r="P1144" s="3">
        <v>0</v>
      </c>
    </row>
    <row r="1145" spans="1:16" x14ac:dyDescent="0.3">
      <c r="A1145" s="6" t="s">
        <v>3967</v>
      </c>
      <c r="B1145" s="6" t="s">
        <v>3968</v>
      </c>
      <c r="C1145" s="2" t="s">
        <v>18</v>
      </c>
      <c r="D1145" s="6">
        <v>41.136578999999998</v>
      </c>
      <c r="E1145" s="6">
        <v>35.461914399999998</v>
      </c>
      <c r="G1145" s="7" t="s">
        <v>1031</v>
      </c>
      <c r="H1145" s="7" t="s">
        <v>1031</v>
      </c>
      <c r="I1145" s="7" t="s">
        <v>1031</v>
      </c>
      <c r="J1145" t="str">
        <f>VLOOKUP(A:A,[1]Sayfa1!$G:$K,5,0)</f>
        <v>ATATÜRK MAH.KÖPRÜLÜLER CAD.NO:123 VEZIRKÖPRÜ SAMSUN</v>
      </c>
      <c r="K1145" t="str">
        <f>VLOOKUP(A:A,[1]Sayfa1!$G:$M,7,0)</f>
        <v>SAMSUN</v>
      </c>
      <c r="L1145" t="str">
        <f>VLOOKUP(A:A,[1]Sayfa1!$G:$L,6,0)</f>
        <v>VEZIRKÖPRÜ</v>
      </c>
      <c r="M1145" s="3">
        <v>1</v>
      </c>
      <c r="N1145" s="3">
        <v>1</v>
      </c>
      <c r="O1145" s="10">
        <v>0</v>
      </c>
      <c r="P1145" s="3">
        <v>0</v>
      </c>
    </row>
    <row r="1146" spans="1:16" x14ac:dyDescent="0.3">
      <c r="A1146" s="6" t="s">
        <v>3969</v>
      </c>
      <c r="B1146" s="6" t="s">
        <v>3970</v>
      </c>
      <c r="C1146" s="2" t="s">
        <v>18</v>
      </c>
      <c r="D1146" s="6">
        <v>40.967904400000002</v>
      </c>
      <c r="E1146" s="6">
        <v>35.6686002</v>
      </c>
      <c r="G1146" s="7" t="s">
        <v>1031</v>
      </c>
      <c r="H1146" s="7" t="s">
        <v>1031</v>
      </c>
      <c r="I1146" s="7" t="s">
        <v>1031</v>
      </c>
      <c r="J1146" t="str">
        <f>VLOOKUP(A:A,[1]Sayfa1!$G:$K,5,0)</f>
        <v>İNÖNÜ MAH. KAZIM PAŞA CAD. NO:4/A HAVZA SAMSUN</v>
      </c>
      <c r="K1146" t="str">
        <f>VLOOKUP(A:A,[1]Sayfa1!$G:$M,7,0)</f>
        <v>SAMSUN</v>
      </c>
      <c r="L1146" t="str">
        <f>VLOOKUP(A:A,[1]Sayfa1!$G:$L,6,0)</f>
        <v>HAVZA</v>
      </c>
      <c r="M1146" s="3">
        <v>1</v>
      </c>
      <c r="N1146" s="3">
        <v>1</v>
      </c>
      <c r="O1146" s="10">
        <v>0</v>
      </c>
      <c r="P1146" s="3">
        <v>0</v>
      </c>
    </row>
    <row r="1147" spans="1:16" x14ac:dyDescent="0.3">
      <c r="A1147" s="6" t="s">
        <v>3971</v>
      </c>
      <c r="B1147" s="6" t="s">
        <v>3972</v>
      </c>
      <c r="C1147" s="2" t="s">
        <v>18</v>
      </c>
      <c r="D1147" s="6">
        <v>40.910514999999997</v>
      </c>
      <c r="E1147" s="6">
        <v>35.894286700000002</v>
      </c>
      <c r="G1147" s="7" t="s">
        <v>1031</v>
      </c>
      <c r="H1147" s="7" t="s">
        <v>1031</v>
      </c>
      <c r="I1147" s="7" t="s">
        <v>1031</v>
      </c>
      <c r="J1147" t="str">
        <f>VLOOKUP(A:A,[1]Sayfa1!$G:$K,5,0)</f>
        <v>LADIK LÂDIK SAMSUN</v>
      </c>
      <c r="K1147" t="str">
        <f>VLOOKUP(A:A,[1]Sayfa1!$G:$M,7,0)</f>
        <v>SAMSUN</v>
      </c>
      <c r="L1147" t="str">
        <f>VLOOKUP(A:A,[1]Sayfa1!$G:$L,6,0)</f>
        <v>LÂDIK</v>
      </c>
      <c r="M1147" s="3">
        <v>1</v>
      </c>
      <c r="N1147" s="3">
        <v>1</v>
      </c>
      <c r="O1147" s="10">
        <v>0</v>
      </c>
      <c r="P1147" s="3">
        <v>0</v>
      </c>
    </row>
    <row r="1148" spans="1:16" x14ac:dyDescent="0.3">
      <c r="A1148" s="6" t="s">
        <v>3973</v>
      </c>
      <c r="B1148" s="6" t="s">
        <v>3974</v>
      </c>
      <c r="C1148" s="2" t="s">
        <v>18</v>
      </c>
      <c r="D1148" s="6">
        <v>41.0773066</v>
      </c>
      <c r="E1148" s="6">
        <v>36.0426699</v>
      </c>
      <c r="G1148" s="7" t="s">
        <v>1031</v>
      </c>
      <c r="H1148" s="7" t="s">
        <v>1031</v>
      </c>
      <c r="I1148" s="7" t="s">
        <v>1031</v>
      </c>
      <c r="J1148" t="str">
        <f>VLOOKUP(A:A,[1]Sayfa1!$G:$K,5,0)</f>
        <v>SOĞUKSU MH. ONER CD. NO:3/4 KAVAK SAMSUN</v>
      </c>
      <c r="K1148" t="str">
        <f>VLOOKUP(A:A,[1]Sayfa1!$G:$M,7,0)</f>
        <v>SAMSUN</v>
      </c>
      <c r="L1148" t="str">
        <f>VLOOKUP(A:A,[1]Sayfa1!$G:$L,6,0)</f>
        <v>KAVAK</v>
      </c>
      <c r="M1148" s="3">
        <v>1</v>
      </c>
      <c r="N1148" s="3">
        <v>1</v>
      </c>
      <c r="O1148" s="10">
        <v>0</v>
      </c>
      <c r="P1148" s="3">
        <v>0</v>
      </c>
    </row>
    <row r="1149" spans="1:16" x14ac:dyDescent="0.3">
      <c r="A1149" s="6" t="s">
        <v>3975</v>
      </c>
      <c r="B1149" s="6" t="s">
        <v>3976</v>
      </c>
      <c r="C1149" s="2" t="s">
        <v>18</v>
      </c>
      <c r="D1149" s="6">
        <v>41.035407300000003</v>
      </c>
      <c r="E1149" s="6">
        <v>36.235557800000002</v>
      </c>
      <c r="G1149" s="7" t="s">
        <v>1031</v>
      </c>
      <c r="H1149" s="7" t="s">
        <v>1031</v>
      </c>
      <c r="I1149" s="7" t="s">
        <v>1031</v>
      </c>
      <c r="J1149" t="str">
        <f>VLOOKUP(A:A,[1]Sayfa1!$G:$K,5,0)</f>
        <v>ATATÜRK MH. MEHMET ÇETİN CD. NO:11/A ADRES KODU:1272468495 ASARCIK SAMSUN</v>
      </c>
      <c r="K1149" t="str">
        <f>VLOOKUP(A:A,[1]Sayfa1!$G:$M,7,0)</f>
        <v>SAMSUN</v>
      </c>
      <c r="L1149" t="str">
        <f>VLOOKUP(A:A,[1]Sayfa1!$G:$L,6,0)</f>
        <v>ASARCIK</v>
      </c>
      <c r="M1149" s="3">
        <v>1</v>
      </c>
      <c r="N1149" s="3">
        <v>1</v>
      </c>
      <c r="O1149" s="10">
        <v>0</v>
      </c>
      <c r="P1149" s="3">
        <v>0</v>
      </c>
    </row>
    <row r="1150" spans="1:16" x14ac:dyDescent="0.3">
      <c r="A1150" s="6" t="s">
        <v>3977</v>
      </c>
      <c r="B1150" s="6" t="s">
        <v>3978</v>
      </c>
      <c r="C1150" s="2" t="s">
        <v>18</v>
      </c>
      <c r="D1150" s="6">
        <v>40.969276899999997</v>
      </c>
      <c r="E1150" s="6">
        <v>35.663040500000001</v>
      </c>
      <c r="G1150" s="7" t="s">
        <v>1031</v>
      </c>
      <c r="H1150" s="7" t="s">
        <v>1031</v>
      </c>
      <c r="I1150" s="7" t="s">
        <v>1031</v>
      </c>
      <c r="J1150" t="str">
        <f>VLOOKUP(A:A,[1]Sayfa1!$G:$K,5,0)</f>
        <v>MEDRESE MH. ALTAL SK. NO:12/1-2 KAZIMPAŞA HAVZA SAMSUN</v>
      </c>
      <c r="K1150" t="str">
        <f>VLOOKUP(A:A,[1]Sayfa1!$G:$M,7,0)</f>
        <v>SAMSUN</v>
      </c>
      <c r="L1150" t="str">
        <f>VLOOKUP(A:A,[1]Sayfa1!$G:$L,6,0)</f>
        <v>HAVZA</v>
      </c>
      <c r="M1150" s="3">
        <v>1</v>
      </c>
      <c r="N1150" s="3">
        <v>1</v>
      </c>
      <c r="O1150" s="10">
        <v>0</v>
      </c>
      <c r="P1150" s="3">
        <v>0</v>
      </c>
    </row>
    <row r="1151" spans="1:16" x14ac:dyDescent="0.3">
      <c r="A1151" s="6" t="s">
        <v>3979</v>
      </c>
      <c r="B1151" s="6" t="s">
        <v>3980</v>
      </c>
      <c r="C1151" s="2" t="s">
        <v>18</v>
      </c>
      <c r="D1151" s="6">
        <v>41.138132800000001</v>
      </c>
      <c r="E1151" s="6">
        <v>35.456825000000002</v>
      </c>
      <c r="G1151" s="7" t="s">
        <v>1031</v>
      </c>
      <c r="H1151" s="7" t="s">
        <v>1031</v>
      </c>
      <c r="I1151" s="7" t="s">
        <v>1031</v>
      </c>
      <c r="J1151" t="str">
        <f>VLOOKUP(A:A,[1]Sayfa1!$G:$K,5,0)</f>
        <v>TAŞKALE MAH.ŞEHİT UZM ÇVŞ.ADNAN ULUIŞIK CAD.NO:55 VEZIRKÖPRÜ SAMSUN</v>
      </c>
      <c r="K1151" t="str">
        <f>VLOOKUP(A:A,[1]Sayfa1!$G:$M,7,0)</f>
        <v>SAMSUN</v>
      </c>
      <c r="L1151" t="str">
        <f>VLOOKUP(A:A,[1]Sayfa1!$G:$L,6,0)</f>
        <v>VEZIRKÖPRÜ</v>
      </c>
      <c r="M1151" s="3">
        <v>1</v>
      </c>
      <c r="N1151" s="3">
        <v>1</v>
      </c>
      <c r="O1151" s="10">
        <v>0</v>
      </c>
      <c r="P1151" s="3">
        <v>0</v>
      </c>
    </row>
    <row r="1152" spans="1:16" x14ac:dyDescent="0.3">
      <c r="A1152" s="6" t="s">
        <v>3981</v>
      </c>
      <c r="B1152" s="6" t="s">
        <v>3982</v>
      </c>
      <c r="C1152" s="2" t="s">
        <v>18</v>
      </c>
      <c r="D1152" s="6">
        <v>40.965463</v>
      </c>
      <c r="E1152" s="6">
        <v>35.670884999999998</v>
      </c>
      <c r="G1152" s="7" t="s">
        <v>1031</v>
      </c>
      <c r="H1152" s="7" t="s">
        <v>1031</v>
      </c>
      <c r="I1152" s="7" t="s">
        <v>1031</v>
      </c>
      <c r="J1152" t="str">
        <f>VLOOKUP(A:A,[1]Sayfa1!$G:$K,5,0)</f>
        <v>KARŞIYAKA MAH. VİŞNELİ SOK. NO:1/1 HAVZA SAMSUN</v>
      </c>
      <c r="K1152" t="str">
        <f>VLOOKUP(A:A,[1]Sayfa1!$G:$M,7,0)</f>
        <v>SAMSUN</v>
      </c>
      <c r="L1152" t="str">
        <f>VLOOKUP(A:A,[1]Sayfa1!$G:$L,6,0)</f>
        <v>HAVZA</v>
      </c>
      <c r="M1152" s="3">
        <v>1</v>
      </c>
      <c r="N1152" s="3">
        <v>1</v>
      </c>
      <c r="O1152" s="10">
        <v>0</v>
      </c>
      <c r="P1152" s="3">
        <v>0</v>
      </c>
    </row>
    <row r="1153" spans="1:16" x14ac:dyDescent="0.3">
      <c r="A1153" s="6" t="s">
        <v>3983</v>
      </c>
      <c r="B1153" s="6" t="s">
        <v>3984</v>
      </c>
      <c r="C1153" s="2" t="s">
        <v>18</v>
      </c>
      <c r="D1153" s="6">
        <v>41.143984600000003</v>
      </c>
      <c r="E1153" s="6">
        <v>35.449173100000003</v>
      </c>
      <c r="G1153" s="7" t="s">
        <v>1031</v>
      </c>
      <c r="H1153" s="7" t="s">
        <v>1031</v>
      </c>
      <c r="I1153" s="7" t="s">
        <v>1031</v>
      </c>
      <c r="J1153" t="str">
        <f>VLOOKUP(A:A,[1]Sayfa1!$G:$K,5,0)</f>
        <v>KAVAKPINARI MAH  ÇAYIRBAŞI MAH. 100. YIL CAD. NO 160/1 VEZIRKÖPRÜ SAMSUN</v>
      </c>
      <c r="K1153" t="str">
        <f>VLOOKUP(A:A,[1]Sayfa1!$G:$M,7,0)</f>
        <v>SAMSUN</v>
      </c>
      <c r="L1153" t="str">
        <f>VLOOKUP(A:A,[1]Sayfa1!$G:$L,6,0)</f>
        <v>VEZIRKÖPRÜ</v>
      </c>
      <c r="M1153" s="3">
        <v>1</v>
      </c>
      <c r="N1153" s="3">
        <v>1</v>
      </c>
      <c r="O1153" s="10">
        <v>0</v>
      </c>
      <c r="P1153" s="3">
        <v>0</v>
      </c>
    </row>
    <row r="1154" spans="1:16" x14ac:dyDescent="0.3">
      <c r="A1154" s="6" t="s">
        <v>3985</v>
      </c>
      <c r="B1154" s="6" t="s">
        <v>3986</v>
      </c>
      <c r="C1154" s="2" t="s">
        <v>18</v>
      </c>
      <c r="D1154" s="6">
        <v>41.069593400000002</v>
      </c>
      <c r="E1154" s="6">
        <v>36.028008300000003</v>
      </c>
      <c r="G1154" s="7" t="s">
        <v>1031</v>
      </c>
      <c r="H1154" s="7" t="s">
        <v>1031</v>
      </c>
      <c r="I1154" s="7" t="s">
        <v>1031</v>
      </c>
      <c r="J1154" t="str">
        <f>VLOOKUP(A:A,[1]Sayfa1!$G:$K,5,0)</f>
        <v>19 MAYIS MAH. İSTASYON SOK. NO.5/1 KAVAK SAMSUN</v>
      </c>
      <c r="K1154" t="str">
        <f>VLOOKUP(A:A,[1]Sayfa1!$G:$M,7,0)</f>
        <v>SAMSUN</v>
      </c>
      <c r="L1154" t="str">
        <f>VLOOKUP(A:A,[1]Sayfa1!$G:$L,6,0)</f>
        <v>KAVAK</v>
      </c>
      <c r="M1154" s="3">
        <v>1</v>
      </c>
      <c r="N1154" s="3">
        <v>1</v>
      </c>
      <c r="O1154" s="10">
        <v>0</v>
      </c>
      <c r="P1154" s="3">
        <v>0</v>
      </c>
    </row>
    <row r="1155" spans="1:16" x14ac:dyDescent="0.3">
      <c r="A1155" s="6" t="s">
        <v>3987</v>
      </c>
      <c r="B1155" s="6" t="s">
        <v>3988</v>
      </c>
      <c r="C1155" s="2" t="s">
        <v>18</v>
      </c>
      <c r="D1155" s="6">
        <v>41.131501999999998</v>
      </c>
      <c r="E1155" s="6">
        <v>35.4743177</v>
      </c>
      <c r="G1155" s="7" t="s">
        <v>1031</v>
      </c>
      <c r="H1155" s="7" t="s">
        <v>1031</v>
      </c>
      <c r="I1155" s="7" t="s">
        <v>1031</v>
      </c>
      <c r="J1155" t="str">
        <f>VLOOKUP(A:A,[1]Sayfa1!$G:$K,5,0)</f>
        <v>ESENTEPE MAH. OMER HALİSDEMİR CAD. NO:26-1 VEZIRKÖPRÜ SAMSUN</v>
      </c>
      <c r="K1155" t="str">
        <f>VLOOKUP(A:A,[1]Sayfa1!$G:$M,7,0)</f>
        <v>SAMSUN</v>
      </c>
      <c r="L1155" t="str">
        <f>VLOOKUP(A:A,[1]Sayfa1!$G:$L,6,0)</f>
        <v>VEZIRKÖPRÜ</v>
      </c>
      <c r="M1155" s="3">
        <v>1</v>
      </c>
      <c r="N1155" s="3">
        <v>1</v>
      </c>
      <c r="O1155" s="10">
        <v>0</v>
      </c>
      <c r="P1155" s="3">
        <v>0</v>
      </c>
    </row>
    <row r="1156" spans="1:16" x14ac:dyDescent="0.3">
      <c r="A1156" s="6" t="s">
        <v>3989</v>
      </c>
      <c r="B1156" s="6" t="s">
        <v>3990</v>
      </c>
      <c r="C1156" s="2" t="s">
        <v>18</v>
      </c>
      <c r="D1156" s="6">
        <v>41.075037999999999</v>
      </c>
      <c r="E1156" s="6">
        <v>36.044392600000002</v>
      </c>
      <c r="G1156" s="7" t="s">
        <v>1031</v>
      </c>
      <c r="H1156" s="7" t="s">
        <v>1031</v>
      </c>
      <c r="I1156" s="7" t="s">
        <v>1031</v>
      </c>
      <c r="J1156" t="str">
        <f>VLOOKUP(A:A,[1]Sayfa1!$G:$K,5,0)</f>
        <v>MEHMETPAŞA MAH DİKMEN SOK. NO:1/1 KAVAK SAMSUN</v>
      </c>
      <c r="K1156" t="str">
        <f>VLOOKUP(A:A,[1]Sayfa1!$G:$M,7,0)</f>
        <v>SAMSUN</v>
      </c>
      <c r="L1156" t="str">
        <f>VLOOKUP(A:A,[1]Sayfa1!$G:$L,6,0)</f>
        <v>KAVAK</v>
      </c>
      <c r="M1156" s="3">
        <v>1</v>
      </c>
      <c r="N1156" s="3">
        <v>1</v>
      </c>
      <c r="O1156" s="10">
        <v>0</v>
      </c>
      <c r="P1156" s="3">
        <v>0</v>
      </c>
    </row>
    <row r="1157" spans="1:16" x14ac:dyDescent="0.3">
      <c r="A1157" s="6" t="s">
        <v>3991</v>
      </c>
      <c r="B1157" s="6" t="s">
        <v>3992</v>
      </c>
      <c r="C1157" s="2" t="s">
        <v>18</v>
      </c>
      <c r="D1157" s="6">
        <v>41.183108599999997</v>
      </c>
      <c r="E1157" s="6">
        <v>36.112394700000003</v>
      </c>
      <c r="G1157" s="7" t="s">
        <v>1031</v>
      </c>
      <c r="H1157" s="7" t="s">
        <v>1031</v>
      </c>
      <c r="I1157" s="7" t="s">
        <v>1031</v>
      </c>
      <c r="J1157" t="str">
        <f>VLOOKUP(A:A,[1]Sayfa1!$G:$K,5,0)</f>
        <v>MAHMUTLU MAH SAPAK 1. SOK. NO:9/1 KAVAK SAMSUN</v>
      </c>
      <c r="K1157" t="str">
        <f>VLOOKUP(A:A,[1]Sayfa1!$G:$M,7,0)</f>
        <v>SAMSUN</v>
      </c>
      <c r="L1157" t="str">
        <f>VLOOKUP(A:A,[1]Sayfa1!$G:$L,6,0)</f>
        <v>KAVAK</v>
      </c>
      <c r="M1157" s="3">
        <v>1</v>
      </c>
      <c r="N1157" s="3">
        <v>1</v>
      </c>
      <c r="O1157" s="10">
        <v>0</v>
      </c>
      <c r="P1157" s="3">
        <v>0</v>
      </c>
    </row>
    <row r="1158" spans="1:16" x14ac:dyDescent="0.3">
      <c r="A1158" s="6" t="s">
        <v>3993</v>
      </c>
      <c r="B1158" s="6" t="s">
        <v>3994</v>
      </c>
      <c r="C1158" s="2" t="s">
        <v>18</v>
      </c>
      <c r="D1158" s="6">
        <v>40.9197518</v>
      </c>
      <c r="E1158" s="6">
        <v>35.896069900000001</v>
      </c>
      <c r="G1158" s="7" t="s">
        <v>1031</v>
      </c>
      <c r="H1158" s="7" t="s">
        <v>1031</v>
      </c>
      <c r="I1158" s="7" t="s">
        <v>1031</v>
      </c>
      <c r="J1158" t="str">
        <f>VLOOKUP(A:A,[1]Sayfa1!$G:$K,5,0)</f>
        <v>SANAYİ MAH GAZİLER CAD. NO:124A LÂDIK SAMSUN</v>
      </c>
      <c r="K1158" t="str">
        <f>VLOOKUP(A:A,[1]Sayfa1!$G:$M,7,0)</f>
        <v>SAMSUN</v>
      </c>
      <c r="L1158" t="str">
        <f>VLOOKUP(A:A,[1]Sayfa1!$G:$L,6,0)</f>
        <v>LÂDIK</v>
      </c>
      <c r="M1158" s="3">
        <v>1</v>
      </c>
      <c r="N1158" s="3">
        <v>1</v>
      </c>
      <c r="O1158" s="10">
        <v>0</v>
      </c>
      <c r="P1158" s="3">
        <v>0</v>
      </c>
    </row>
    <row r="1159" spans="1:16" x14ac:dyDescent="0.3">
      <c r="A1159" s="6" t="s">
        <v>3995</v>
      </c>
      <c r="B1159" s="6" t="s">
        <v>3996</v>
      </c>
      <c r="C1159" s="2" t="s">
        <v>18</v>
      </c>
      <c r="D1159" s="6">
        <v>41.138639699999999</v>
      </c>
      <c r="E1159" s="6">
        <v>36.124680699999999</v>
      </c>
      <c r="G1159" s="7" t="s">
        <v>1031</v>
      </c>
      <c r="H1159" s="7" t="s">
        <v>1031</v>
      </c>
      <c r="I1159" s="7" t="s">
        <v>1031</v>
      </c>
      <c r="J1159" t="str">
        <f>VLOOKUP(A:A,[1]Sayfa1!$G:$K,5,0)</f>
        <v>ÇAKALLI MAH MERKEZ 4 SOK. NO:103 KAVAK SAMSUN</v>
      </c>
      <c r="K1159" t="str">
        <f>VLOOKUP(A:A,[1]Sayfa1!$G:$M,7,0)</f>
        <v>SAMSUN</v>
      </c>
      <c r="L1159" t="str">
        <f>VLOOKUP(A:A,[1]Sayfa1!$G:$L,6,0)</f>
        <v>KAVAK</v>
      </c>
      <c r="M1159" s="3">
        <v>1</v>
      </c>
      <c r="N1159" s="3">
        <v>1</v>
      </c>
      <c r="O1159" s="10">
        <v>0</v>
      </c>
      <c r="P1159" s="3">
        <v>0</v>
      </c>
    </row>
    <row r="1160" spans="1:16" x14ac:dyDescent="0.3">
      <c r="A1160" s="6" t="s">
        <v>3997</v>
      </c>
      <c r="B1160" s="6" t="s">
        <v>3998</v>
      </c>
      <c r="C1160" s="2" t="s">
        <v>18</v>
      </c>
      <c r="D1160" s="6">
        <v>41.034516699999998</v>
      </c>
      <c r="E1160" s="6">
        <v>36.229691699999997</v>
      </c>
      <c r="G1160" s="7" t="s">
        <v>1031</v>
      </c>
      <c r="H1160" s="7" t="s">
        <v>1031</v>
      </c>
      <c r="I1160" s="7" t="s">
        <v>1031</v>
      </c>
      <c r="J1160" t="str">
        <f>VLOOKUP(A:A,[1]Sayfa1!$G:$K,5,0)</f>
        <v>BİÇİNCİK MAH ADNAN MENDERES CAD. NO:15 ASARCIK SAMSUN</v>
      </c>
      <c r="K1160" t="str">
        <f>VLOOKUP(A:A,[1]Sayfa1!$G:$M,7,0)</f>
        <v>SAMSUN</v>
      </c>
      <c r="L1160" t="str">
        <f>VLOOKUP(A:A,[1]Sayfa1!$G:$L,6,0)</f>
        <v>ASARCIK</v>
      </c>
      <c r="M1160" s="3">
        <v>1</v>
      </c>
      <c r="N1160" s="3">
        <v>1</v>
      </c>
      <c r="O1160" s="10">
        <v>0</v>
      </c>
      <c r="P1160" s="3">
        <v>0</v>
      </c>
    </row>
    <row r="1161" spans="1:16" x14ac:dyDescent="0.3">
      <c r="A1161" s="6" t="s">
        <v>3999</v>
      </c>
      <c r="B1161" s="6" t="s">
        <v>4000</v>
      </c>
      <c r="C1161" s="2" t="s">
        <v>18</v>
      </c>
      <c r="D1161" s="6">
        <v>40.911300099999998</v>
      </c>
      <c r="E1161" s="6">
        <v>35.896856300000003</v>
      </c>
      <c r="G1161" s="7" t="s">
        <v>1031</v>
      </c>
      <c r="H1161" s="7" t="s">
        <v>1031</v>
      </c>
      <c r="I1161" s="7" t="s">
        <v>1031</v>
      </c>
      <c r="J1161" t="str">
        <f>VLOOKUP(A:A,[1]Sayfa1!$G:$K,5,0)</f>
        <v>BAHŞİ MAH NALCIOĞLU CAD. NO:1/A LÂDIK SAMSUN</v>
      </c>
      <c r="K1161" t="str">
        <f>VLOOKUP(A:A,[1]Sayfa1!$G:$M,7,0)</f>
        <v>SAMSUN</v>
      </c>
      <c r="L1161" t="str">
        <f>VLOOKUP(A:A,[1]Sayfa1!$G:$L,6,0)</f>
        <v>LÂDIK</v>
      </c>
      <c r="M1161" s="3">
        <v>1</v>
      </c>
      <c r="N1161" s="3">
        <v>1</v>
      </c>
      <c r="O1161" s="10">
        <v>0</v>
      </c>
      <c r="P1161" s="3">
        <v>0</v>
      </c>
    </row>
    <row r="1162" spans="1:16" x14ac:dyDescent="0.3">
      <c r="A1162" s="6" t="s">
        <v>4001</v>
      </c>
      <c r="B1162" s="6" t="s">
        <v>4002</v>
      </c>
      <c r="C1162" s="2" t="s">
        <v>18</v>
      </c>
      <c r="D1162" s="6">
        <v>40.975710800000002</v>
      </c>
      <c r="E1162" s="6">
        <v>35.6595662</v>
      </c>
      <c r="G1162" s="7" t="s">
        <v>1031</v>
      </c>
      <c r="H1162" s="7" t="s">
        <v>1031</v>
      </c>
      <c r="I1162" s="7" t="s">
        <v>1031</v>
      </c>
      <c r="J1162" t="str">
        <f>VLOOKUP(A:A,[1]Sayfa1!$G:$K,5,0)</f>
        <v>SONDAJ MAH ŞHT. JAN. YARBAY MESUT KURU CAD. NO:6A HAVZA SAMSUN</v>
      </c>
      <c r="K1162" t="str">
        <f>VLOOKUP(A:A,[1]Sayfa1!$G:$M,7,0)</f>
        <v>SAMSUN</v>
      </c>
      <c r="L1162" t="str">
        <f>VLOOKUP(A:A,[1]Sayfa1!$G:$L,6,0)</f>
        <v>HAVZA</v>
      </c>
      <c r="M1162" s="3">
        <v>1</v>
      </c>
      <c r="N1162" s="3">
        <v>1</v>
      </c>
      <c r="O1162" s="10">
        <v>0</v>
      </c>
      <c r="P1162" s="3">
        <v>0</v>
      </c>
    </row>
    <row r="1163" spans="1:16" x14ac:dyDescent="0.3">
      <c r="A1163" s="6" t="s">
        <v>4003</v>
      </c>
      <c r="B1163" s="6" t="s">
        <v>4004</v>
      </c>
      <c r="C1163" s="2" t="s">
        <v>18</v>
      </c>
      <c r="D1163" s="6">
        <v>41.073185299999999</v>
      </c>
      <c r="E1163" s="6">
        <v>36.034737</v>
      </c>
      <c r="G1163" s="7" t="s">
        <v>1031</v>
      </c>
      <c r="H1163" s="7" t="s">
        <v>1031</v>
      </c>
      <c r="I1163" s="7" t="s">
        <v>1031</v>
      </c>
      <c r="J1163" t="str">
        <f>VLOOKUP(A:A,[1]Sayfa1!$G:$K,5,0)</f>
        <v>YAŞAR DOĞU MAH ADNAN MENDERES CAD. NO:112/1 KAVAK SAMSUN</v>
      </c>
      <c r="K1163" t="str">
        <f>VLOOKUP(A:A,[1]Sayfa1!$G:$M,7,0)</f>
        <v>SAMSUN</v>
      </c>
      <c r="L1163" t="str">
        <f>VLOOKUP(A:A,[1]Sayfa1!$G:$L,6,0)</f>
        <v>KAVAK</v>
      </c>
      <c r="M1163" s="3">
        <v>1</v>
      </c>
      <c r="N1163" s="3">
        <v>1</v>
      </c>
      <c r="O1163" s="10">
        <v>0</v>
      </c>
      <c r="P1163" s="3">
        <v>0</v>
      </c>
    </row>
    <row r="1164" spans="1:16" x14ac:dyDescent="0.3">
      <c r="A1164" s="6" t="s">
        <v>4005</v>
      </c>
      <c r="B1164" s="6" t="s">
        <v>4006</v>
      </c>
      <c r="C1164" s="2" t="s">
        <v>18</v>
      </c>
      <c r="D1164" s="6">
        <v>40.967503299999997</v>
      </c>
      <c r="E1164" s="6">
        <v>35.670486699999998</v>
      </c>
      <c r="G1164" s="7" t="s">
        <v>1031</v>
      </c>
      <c r="H1164" s="7" t="s">
        <v>1031</v>
      </c>
      <c r="I1164" s="7" t="s">
        <v>1031</v>
      </c>
      <c r="J1164" t="str">
        <f>VLOOKUP(A:A,[1]Sayfa1!$G:$K,5,0)</f>
        <v>İNÖNÜ MAH P.ER AHMET BOZKURT SOK. NO:18/B-A HAVZA SAMSUN</v>
      </c>
      <c r="K1164" t="str">
        <f>VLOOKUP(A:A,[1]Sayfa1!$G:$M,7,0)</f>
        <v>SAMSUN</v>
      </c>
      <c r="L1164" t="str">
        <f>VLOOKUP(A:A,[1]Sayfa1!$G:$L,6,0)</f>
        <v>HAVZA</v>
      </c>
      <c r="M1164" s="3">
        <v>1</v>
      </c>
      <c r="N1164" s="3">
        <v>1</v>
      </c>
      <c r="O1164" s="10">
        <v>0</v>
      </c>
      <c r="P1164" s="3">
        <v>0</v>
      </c>
    </row>
    <row r="1165" spans="1:16" x14ac:dyDescent="0.3">
      <c r="A1165" s="6" t="s">
        <v>4007</v>
      </c>
      <c r="B1165" s="6" t="s">
        <v>4008</v>
      </c>
      <c r="C1165" s="2" t="s">
        <v>18</v>
      </c>
      <c r="D1165" s="6">
        <v>40.964897000000001</v>
      </c>
      <c r="E1165" s="6">
        <v>35.665016000000001</v>
      </c>
      <c r="G1165" s="7" t="s">
        <v>1031</v>
      </c>
      <c r="H1165" s="7" t="s">
        <v>1031</v>
      </c>
      <c r="I1165" s="7" t="s">
        <v>1031</v>
      </c>
      <c r="J1165" t="str">
        <f>VLOOKUP(A:A,[1]Sayfa1!$G:$K,5,0)</f>
        <v>İCADİYE MAH ŞHT. HASAN AKTAR CAD. NO:61/3 HAVZA SAMSUN</v>
      </c>
      <c r="K1165" t="str">
        <f>VLOOKUP(A:A,[1]Sayfa1!$G:$M,7,0)</f>
        <v>SAMSUN</v>
      </c>
      <c r="L1165" t="str">
        <f>VLOOKUP(A:A,[1]Sayfa1!$G:$L,6,0)</f>
        <v>HAVZA</v>
      </c>
      <c r="M1165" s="3">
        <v>1</v>
      </c>
      <c r="N1165" s="3">
        <v>1</v>
      </c>
      <c r="O1165" s="10">
        <v>0</v>
      </c>
      <c r="P1165" s="3">
        <v>0</v>
      </c>
    </row>
    <row r="1166" spans="1:16" x14ac:dyDescent="0.3">
      <c r="A1166" s="6" t="s">
        <v>4009</v>
      </c>
      <c r="B1166" s="6" t="s">
        <v>4010</v>
      </c>
      <c r="C1166" s="2" t="s">
        <v>18</v>
      </c>
      <c r="D1166" s="6">
        <v>41.467898300000002</v>
      </c>
      <c r="E1166" s="6">
        <v>36.125331699999997</v>
      </c>
      <c r="G1166" s="7" t="s">
        <v>1031</v>
      </c>
      <c r="H1166" s="7" t="s">
        <v>1031</v>
      </c>
      <c r="I1166" s="7" t="s">
        <v>1031</v>
      </c>
      <c r="J1166" t="str">
        <f>VLOOKUP(A:A,[1]Sayfa1!$G:$K,5,0)</f>
        <v>CUMHURİYET MAH GAZİ CAD. NO:59/1 VEZIRKÖPRÜ SAMSUN</v>
      </c>
      <c r="K1166" t="str">
        <f>VLOOKUP(A:A,[1]Sayfa1!$G:$M,7,0)</f>
        <v>SAMSUN</v>
      </c>
      <c r="L1166" t="str">
        <f>VLOOKUP(A:A,[1]Sayfa1!$G:$L,6,0)</f>
        <v>VEZIRKÖPRÜ</v>
      </c>
      <c r="M1166" s="3">
        <v>1</v>
      </c>
      <c r="N1166" s="3">
        <v>1</v>
      </c>
      <c r="O1166" s="10">
        <v>0</v>
      </c>
      <c r="P1166" s="3">
        <v>0</v>
      </c>
    </row>
    <row r="1167" spans="1:16" x14ac:dyDescent="0.3">
      <c r="A1167" s="6" t="s">
        <v>4011</v>
      </c>
      <c r="B1167" s="6" t="s">
        <v>4012</v>
      </c>
      <c r="C1167" s="2" t="s">
        <v>18</v>
      </c>
      <c r="D1167" s="6">
        <v>41.564329000000001</v>
      </c>
      <c r="E1167" s="6">
        <v>35.899459299999997</v>
      </c>
      <c r="G1167" s="7" t="s">
        <v>1031</v>
      </c>
      <c r="H1167" s="7" t="s">
        <v>1031</v>
      </c>
      <c r="I1167" s="7" t="s">
        <v>1031</v>
      </c>
      <c r="J1167" t="str">
        <f>VLOOKUP(A:A,[1]Sayfa1!$G:$K,5,0)</f>
        <v>HACINABİ MAH 19 MAYIS CAD. NO:13/4 BAFRA SAMSUN</v>
      </c>
      <c r="K1167" t="str">
        <f>VLOOKUP(A:A,[1]Sayfa1!$G:$M,7,0)</f>
        <v>SAMSUN</v>
      </c>
      <c r="L1167" t="str">
        <f>VLOOKUP(A:A,[1]Sayfa1!$G:$L,6,0)</f>
        <v>BAFRA</v>
      </c>
      <c r="M1167" s="3">
        <v>1</v>
      </c>
      <c r="N1167" s="3">
        <v>1</v>
      </c>
      <c r="O1167" s="10">
        <v>0</v>
      </c>
      <c r="P1167" s="3">
        <v>0</v>
      </c>
    </row>
    <row r="1168" spans="1:16" x14ac:dyDescent="0.3">
      <c r="A1168" s="6" t="s">
        <v>4013</v>
      </c>
      <c r="B1168" s="6" t="s">
        <v>4014</v>
      </c>
      <c r="C1168" s="2" t="s">
        <v>18</v>
      </c>
      <c r="D1168" s="6">
        <v>41.573568299999998</v>
      </c>
      <c r="E1168" s="6">
        <v>35.911646699999999</v>
      </c>
      <c r="G1168" s="7" t="s">
        <v>1031</v>
      </c>
      <c r="H1168" s="7" t="s">
        <v>1031</v>
      </c>
      <c r="I1168" s="7" t="s">
        <v>1031</v>
      </c>
      <c r="J1168" t="str">
        <f>VLOOKUP(A:A,[1]Sayfa1!$G:$K,5,0)</f>
        <v>GAZiOSMANPASA MH.STAT CD NO:57 BAFRA SAMSUN</v>
      </c>
      <c r="K1168" t="str">
        <f>VLOOKUP(A:A,[1]Sayfa1!$G:$M,7,0)</f>
        <v>SAMSUN</v>
      </c>
      <c r="L1168" t="str">
        <f>VLOOKUP(A:A,[1]Sayfa1!$G:$L,6,0)</f>
        <v>BAFRA</v>
      </c>
      <c r="M1168" s="3">
        <v>1</v>
      </c>
      <c r="N1168" s="3">
        <v>1</v>
      </c>
      <c r="O1168" s="10">
        <v>0</v>
      </c>
      <c r="P1168" s="3">
        <v>0</v>
      </c>
    </row>
    <row r="1169" spans="1:16" x14ac:dyDescent="0.3">
      <c r="A1169" s="6" t="s">
        <v>4015</v>
      </c>
      <c r="B1169" s="6" t="s">
        <v>4016</v>
      </c>
      <c r="C1169" s="2" t="s">
        <v>18</v>
      </c>
      <c r="D1169" s="6">
        <v>41.568030899999997</v>
      </c>
      <c r="E1169" s="6">
        <v>35.919843700000001</v>
      </c>
      <c r="G1169" s="7" t="s">
        <v>1031</v>
      </c>
      <c r="H1169" s="7" t="s">
        <v>1031</v>
      </c>
      <c r="I1169" s="7" t="s">
        <v>1031</v>
      </c>
      <c r="J1169" t="str">
        <f>VLOOKUP(A:A,[1]Sayfa1!$G:$K,5,0)</f>
        <v>MEVLANA MAH. YUKARI BAKIRPINAR SOK. NO:43 A / B BAFRA SAMSUN</v>
      </c>
      <c r="K1169" t="str">
        <f>VLOOKUP(A:A,[1]Sayfa1!$G:$M,7,0)</f>
        <v>SAMSUN</v>
      </c>
      <c r="L1169" t="str">
        <f>VLOOKUP(A:A,[1]Sayfa1!$G:$L,6,0)</f>
        <v>BAFRA</v>
      </c>
      <c r="M1169" s="3">
        <v>1</v>
      </c>
      <c r="N1169" s="3">
        <v>1</v>
      </c>
      <c r="O1169" s="10">
        <v>0</v>
      </c>
      <c r="P1169" s="3">
        <v>0</v>
      </c>
    </row>
    <row r="1170" spans="1:16" x14ac:dyDescent="0.3">
      <c r="A1170" s="6" t="s">
        <v>4017</v>
      </c>
      <c r="B1170" s="6" t="s">
        <v>4018</v>
      </c>
      <c r="C1170" s="2" t="s">
        <v>18</v>
      </c>
      <c r="D1170" s="6">
        <v>41.559374099999999</v>
      </c>
      <c r="E1170" s="6">
        <v>35.903545999999999</v>
      </c>
      <c r="G1170" s="7" t="s">
        <v>1031</v>
      </c>
      <c r="H1170" s="7" t="s">
        <v>1031</v>
      </c>
      <c r="I1170" s="7" t="s">
        <v>1031</v>
      </c>
      <c r="J1170" t="str">
        <f>VLOOKUP(A:A,[1]Sayfa1!$G:$K,5,0)</f>
        <v>EMİREFENDİ MAH SÜLEYMAN TÜRK CAD. NO:17/A BAFRA SAMSUN</v>
      </c>
      <c r="K1170" t="str">
        <f>VLOOKUP(A:A,[1]Sayfa1!$G:$M,7,0)</f>
        <v>SAMSUN</v>
      </c>
      <c r="L1170" t="str">
        <f>VLOOKUP(A:A,[1]Sayfa1!$G:$L,6,0)</f>
        <v>BAFRA</v>
      </c>
      <c r="M1170" s="3">
        <v>1</v>
      </c>
      <c r="N1170" s="3">
        <v>1</v>
      </c>
      <c r="O1170" s="10">
        <v>0</v>
      </c>
      <c r="P1170" s="3">
        <v>0</v>
      </c>
    </row>
    <row r="1171" spans="1:16" x14ac:dyDescent="0.3">
      <c r="A1171" s="6" t="s">
        <v>4019</v>
      </c>
      <c r="B1171" s="6" t="s">
        <v>4020</v>
      </c>
      <c r="C1171" s="2" t="s">
        <v>18</v>
      </c>
      <c r="D1171" s="6">
        <v>41.559648899999999</v>
      </c>
      <c r="E1171" s="6">
        <v>35.908842800000002</v>
      </c>
      <c r="G1171" s="7" t="s">
        <v>1031</v>
      </c>
      <c r="H1171" s="7" t="s">
        <v>1031</v>
      </c>
      <c r="I1171" s="7" t="s">
        <v>1031</v>
      </c>
      <c r="J1171" t="str">
        <f>VLOOKUP(A:A,[1]Sayfa1!$G:$K,5,0)</f>
        <v>EMİR EFENDİ MAH.BARIŞMANÇO CAD.DEGİRMENCİOĞLU APT.NO:41/B BAFRA SAMSUN</v>
      </c>
      <c r="K1171" t="str">
        <f>VLOOKUP(A:A,[1]Sayfa1!$G:$M,7,0)</f>
        <v>SAMSUN</v>
      </c>
      <c r="L1171" t="str">
        <f>VLOOKUP(A:A,[1]Sayfa1!$G:$L,6,0)</f>
        <v>BAFRA</v>
      </c>
      <c r="M1171" s="3">
        <v>1</v>
      </c>
      <c r="N1171" s="3">
        <v>1</v>
      </c>
      <c r="O1171" s="10">
        <v>0</v>
      </c>
      <c r="P1171" s="3">
        <v>0</v>
      </c>
    </row>
    <row r="1172" spans="1:16" x14ac:dyDescent="0.3">
      <c r="A1172" s="6" t="s">
        <v>4021</v>
      </c>
      <c r="B1172" s="6" t="s">
        <v>4022</v>
      </c>
      <c r="C1172" s="2" t="s">
        <v>18</v>
      </c>
      <c r="D1172" s="6">
        <v>41.571651500000002</v>
      </c>
      <c r="E1172" s="6">
        <v>35.902061799999998</v>
      </c>
      <c r="G1172" s="7" t="s">
        <v>1031</v>
      </c>
      <c r="H1172" s="7" t="s">
        <v>1031</v>
      </c>
      <c r="I1172" s="7" t="s">
        <v>1031</v>
      </c>
      <c r="J1172" t="str">
        <f>VLOOKUP(A:A,[1]Sayfa1!$G:$K,5,0)</f>
        <v>BÜYÜKCAMİ MAH. PARK CAD. NO:48/C BAFRA SAMSUN</v>
      </c>
      <c r="K1172" t="str">
        <f>VLOOKUP(A:A,[1]Sayfa1!$G:$M,7,0)</f>
        <v>SAMSUN</v>
      </c>
      <c r="L1172" t="str">
        <f>VLOOKUP(A:A,[1]Sayfa1!$G:$L,6,0)</f>
        <v>BAFRA</v>
      </c>
      <c r="M1172" s="3">
        <v>1</v>
      </c>
      <c r="N1172" s="3">
        <v>1</v>
      </c>
      <c r="O1172" s="10">
        <v>0</v>
      </c>
      <c r="P1172" s="3">
        <v>0</v>
      </c>
    </row>
    <row r="1173" spans="1:16" x14ac:dyDescent="0.3">
      <c r="A1173" s="6" t="s">
        <v>4023</v>
      </c>
      <c r="B1173" s="6" t="s">
        <v>4024</v>
      </c>
      <c r="C1173" s="2" t="s">
        <v>18</v>
      </c>
      <c r="D1173" s="6">
        <v>41.569084799999999</v>
      </c>
      <c r="E1173" s="6">
        <v>35.904398100000002</v>
      </c>
      <c r="G1173" s="7" t="s">
        <v>1031</v>
      </c>
      <c r="H1173" s="7" t="s">
        <v>1031</v>
      </c>
      <c r="I1173" s="7" t="s">
        <v>1031</v>
      </c>
      <c r="J1173" t="str">
        <f>VLOOKUP(A:A,[1]Sayfa1!$G:$K,5,0)</f>
        <v>GAZİPAŞA MAH. HÜKÜMET CAD. NO:5/1B BAFRA SAMSUN</v>
      </c>
      <c r="K1173" t="str">
        <f>VLOOKUP(A:A,[1]Sayfa1!$G:$M,7,0)</f>
        <v>SAMSUN</v>
      </c>
      <c r="L1173" t="str">
        <f>VLOOKUP(A:A,[1]Sayfa1!$G:$L,6,0)</f>
        <v>BAFRA</v>
      </c>
      <c r="M1173" s="3">
        <v>1</v>
      </c>
      <c r="N1173" s="3">
        <v>1</v>
      </c>
      <c r="O1173" s="10">
        <v>0</v>
      </c>
      <c r="P1173" s="3">
        <v>0</v>
      </c>
    </row>
    <row r="1174" spans="1:16" x14ac:dyDescent="0.3">
      <c r="A1174" s="6" t="s">
        <v>4025</v>
      </c>
      <c r="B1174" s="6" t="s">
        <v>4026</v>
      </c>
      <c r="C1174" s="2" t="s">
        <v>18</v>
      </c>
      <c r="D1174" s="6">
        <v>41.560763899999998</v>
      </c>
      <c r="E1174" s="6">
        <v>35.8952344</v>
      </c>
      <c r="G1174" s="7" t="s">
        <v>1031</v>
      </c>
      <c r="H1174" s="7" t="s">
        <v>1031</v>
      </c>
      <c r="I1174" s="7" t="s">
        <v>1031</v>
      </c>
      <c r="J1174" t="str">
        <f>VLOOKUP(A:A,[1]Sayfa1!$G:$K,5,0)</f>
        <v>KAVAKPINAR MAH. 19 MAYIS CAD. NO:79 BAFRA SAMSUN</v>
      </c>
      <c r="K1174" t="str">
        <f>VLOOKUP(A:A,[1]Sayfa1!$G:$M,7,0)</f>
        <v>SAMSUN</v>
      </c>
      <c r="L1174" t="str">
        <f>VLOOKUP(A:A,[1]Sayfa1!$G:$L,6,0)</f>
        <v>BAFRA</v>
      </c>
      <c r="M1174" s="3">
        <v>1</v>
      </c>
      <c r="N1174" s="3">
        <v>1</v>
      </c>
      <c r="O1174" s="10">
        <v>0</v>
      </c>
      <c r="P1174" s="3">
        <v>0</v>
      </c>
    </row>
    <row r="1175" spans="1:16" x14ac:dyDescent="0.3">
      <c r="A1175" s="6" t="s">
        <v>4027</v>
      </c>
      <c r="B1175" s="6" t="s">
        <v>4028</v>
      </c>
      <c r="C1175" s="2" t="s">
        <v>18</v>
      </c>
      <c r="D1175" s="6">
        <v>41.566724999999998</v>
      </c>
      <c r="E1175" s="6">
        <v>35.896050000000002</v>
      </c>
      <c r="G1175" s="7" t="s">
        <v>1031</v>
      </c>
      <c r="H1175" s="7" t="s">
        <v>1031</v>
      </c>
      <c r="I1175" s="7" t="s">
        <v>1031</v>
      </c>
      <c r="J1175" t="str">
        <f>VLOOKUP(A:A,[1]Sayfa1!$G:$K,5,0)</f>
        <v>ALAÇAM CD. NO:93 BAFRA SAMSUN</v>
      </c>
      <c r="K1175" t="str">
        <f>VLOOKUP(A:A,[1]Sayfa1!$G:$M,7,0)</f>
        <v>SAMSUN</v>
      </c>
      <c r="L1175" t="str">
        <f>VLOOKUP(A:A,[1]Sayfa1!$G:$L,6,0)</f>
        <v>BAFRA</v>
      </c>
      <c r="M1175" s="3">
        <v>1</v>
      </c>
      <c r="N1175" s="3">
        <v>1</v>
      </c>
      <c r="O1175" s="10">
        <v>0</v>
      </c>
      <c r="P1175" s="3">
        <v>0</v>
      </c>
    </row>
    <row r="1176" spans="1:16" x14ac:dyDescent="0.3">
      <c r="A1176" s="6" t="s">
        <v>4029</v>
      </c>
      <c r="B1176" s="6" t="s">
        <v>4030</v>
      </c>
      <c r="C1176" s="2" t="s">
        <v>18</v>
      </c>
      <c r="D1176" s="6">
        <v>41.567165699999997</v>
      </c>
      <c r="E1176" s="6">
        <v>35.911039799999998</v>
      </c>
      <c r="G1176" s="7" t="s">
        <v>1031</v>
      </c>
      <c r="H1176" s="7" t="s">
        <v>1031</v>
      </c>
      <c r="I1176" s="7" t="s">
        <v>1031</v>
      </c>
      <c r="J1176" t="str">
        <f>VLOOKUP(A:A,[1]Sayfa1!$G:$K,5,0)</f>
        <v>İSHAKLI MAH GENÇLİK CAD. NO:27 BAFRA SAMSUN</v>
      </c>
      <c r="K1176" t="str">
        <f>VLOOKUP(A:A,[1]Sayfa1!$G:$M,7,0)</f>
        <v>SAMSUN</v>
      </c>
      <c r="L1176" t="str">
        <f>VLOOKUP(A:A,[1]Sayfa1!$G:$L,6,0)</f>
        <v>BAFRA</v>
      </c>
      <c r="M1176" s="3">
        <v>1</v>
      </c>
      <c r="N1176" s="3">
        <v>1</v>
      </c>
      <c r="O1176" s="10">
        <v>0</v>
      </c>
      <c r="P1176" s="3">
        <v>0</v>
      </c>
    </row>
    <row r="1177" spans="1:16" x14ac:dyDescent="0.3">
      <c r="A1177" s="6" t="s">
        <v>4031</v>
      </c>
      <c r="B1177" s="6" t="s">
        <v>4032</v>
      </c>
      <c r="C1177" s="2" t="s">
        <v>18</v>
      </c>
      <c r="D1177" s="6">
        <v>41.416601800000002</v>
      </c>
      <c r="E1177" s="6">
        <v>36.1721796</v>
      </c>
      <c r="G1177" s="7" t="s">
        <v>1031</v>
      </c>
      <c r="H1177" s="7" t="s">
        <v>1031</v>
      </c>
      <c r="I1177" s="7" t="s">
        <v>1031</v>
      </c>
      <c r="J1177" t="str">
        <f>VLOOKUP(A:A,[1]Sayfa1!$G:$K,5,0)</f>
        <v>ÇATALÇAM GÜZELYURT MH. ÇATALÇAM BUL. NO:2 19MAYIS SAMSUN</v>
      </c>
      <c r="K1177" t="str">
        <f>VLOOKUP(A:A,[1]Sayfa1!$G:$M,7,0)</f>
        <v>SAMSUN</v>
      </c>
      <c r="L1177" t="str">
        <f>VLOOKUP(A:A,[1]Sayfa1!$G:$L,6,0)</f>
        <v>19MAYIS</v>
      </c>
      <c r="M1177" s="3">
        <v>1</v>
      </c>
      <c r="N1177" s="3">
        <v>1</v>
      </c>
      <c r="O1177" s="10">
        <v>0</v>
      </c>
      <c r="P1177" s="3">
        <v>0</v>
      </c>
    </row>
    <row r="1178" spans="1:16" x14ac:dyDescent="0.3">
      <c r="A1178" s="6" t="s">
        <v>4033</v>
      </c>
      <c r="B1178" s="6" t="s">
        <v>4034</v>
      </c>
      <c r="C1178" s="2" t="s">
        <v>18</v>
      </c>
      <c r="D1178" s="6">
        <v>41.563011400000001</v>
      </c>
      <c r="E1178" s="6">
        <v>35.906522600000002</v>
      </c>
      <c r="G1178" s="7" t="s">
        <v>1031</v>
      </c>
      <c r="H1178" s="7" t="s">
        <v>1031</v>
      </c>
      <c r="I1178" s="7" t="s">
        <v>1031</v>
      </c>
      <c r="J1178" t="str">
        <f>VLOOKUP(A:A,[1]Sayfa1!$G:$K,5,0)</f>
        <v>TABAKHANE MAH ŞIHLAR 2. SOK. NO:3 BAFRA SAMSUN</v>
      </c>
      <c r="K1178" t="str">
        <f>VLOOKUP(A:A,[1]Sayfa1!$G:$M,7,0)</f>
        <v>SAMSUN</v>
      </c>
      <c r="L1178" t="str">
        <f>VLOOKUP(A:A,[1]Sayfa1!$G:$L,6,0)</f>
        <v>BAFRA</v>
      </c>
      <c r="M1178" s="3">
        <v>1</v>
      </c>
      <c r="N1178" s="3">
        <v>1</v>
      </c>
      <c r="O1178" s="10">
        <v>0</v>
      </c>
      <c r="P1178" s="3">
        <v>0</v>
      </c>
    </row>
    <row r="1179" spans="1:16" x14ac:dyDescent="0.3">
      <c r="A1179" s="6" t="s">
        <v>4035</v>
      </c>
      <c r="B1179" s="6" t="s">
        <v>4036</v>
      </c>
      <c r="C1179" s="2" t="s">
        <v>18</v>
      </c>
      <c r="D1179" s="6">
        <v>41.561108599999997</v>
      </c>
      <c r="E1179" s="6">
        <v>35.914373300000001</v>
      </c>
      <c r="G1179" s="7" t="s">
        <v>1031</v>
      </c>
      <c r="H1179" s="7" t="s">
        <v>1031</v>
      </c>
      <c r="I1179" s="7" t="s">
        <v>1031</v>
      </c>
      <c r="J1179" t="str">
        <f>VLOOKUP(A:A,[1]Sayfa1!$G:$K,5,0)</f>
        <v>ALTINYAPRAK MAH. DUHA SERTKAYA BUL. NO:35 BAFRA SAMSUN</v>
      </c>
      <c r="K1179" t="str">
        <f>VLOOKUP(A:A,[1]Sayfa1!$G:$M,7,0)</f>
        <v>SAMSUN</v>
      </c>
      <c r="L1179" t="str">
        <f>VLOOKUP(A:A,[1]Sayfa1!$G:$L,6,0)</f>
        <v>BAFRA</v>
      </c>
      <c r="M1179" s="3">
        <v>1</v>
      </c>
      <c r="N1179" s="3">
        <v>1</v>
      </c>
      <c r="O1179" s="10">
        <v>0</v>
      </c>
      <c r="P1179" s="3">
        <v>0</v>
      </c>
    </row>
    <row r="1180" spans="1:16" x14ac:dyDescent="0.3">
      <c r="A1180" s="6" t="s">
        <v>4037</v>
      </c>
      <c r="B1180" s="6" t="s">
        <v>4038</v>
      </c>
      <c r="C1180" s="2" t="s">
        <v>18</v>
      </c>
      <c r="D1180" s="6">
        <v>41.4945898</v>
      </c>
      <c r="E1180" s="6">
        <v>36.077737200000001</v>
      </c>
      <c r="G1180" s="7" t="s">
        <v>1031</v>
      </c>
      <c r="H1180" s="7" t="s">
        <v>1031</v>
      </c>
      <c r="I1180" s="7" t="s">
        <v>1031</v>
      </c>
      <c r="J1180" t="str">
        <f>VLOOKUP(A:A,[1]Sayfa1!$G:$K,5,0)</f>
        <v>PAZAR MAH.ATATÜRK BUL. NO:161 19MAYIS SAMSUN</v>
      </c>
      <c r="K1180" t="str">
        <f>VLOOKUP(A:A,[1]Sayfa1!$G:$M,7,0)</f>
        <v>SAMSUN</v>
      </c>
      <c r="L1180" t="str">
        <f>VLOOKUP(A:A,[1]Sayfa1!$G:$L,6,0)</f>
        <v>19MAYIS</v>
      </c>
      <c r="M1180" s="3">
        <v>1</v>
      </c>
      <c r="N1180" s="3">
        <v>1</v>
      </c>
      <c r="O1180" s="10">
        <v>0</v>
      </c>
      <c r="P1180" s="3">
        <v>0</v>
      </c>
    </row>
    <row r="1181" spans="1:16" x14ac:dyDescent="0.3">
      <c r="A1181" s="6" t="s">
        <v>4039</v>
      </c>
      <c r="B1181" s="6" t="s">
        <v>4040</v>
      </c>
      <c r="C1181" s="2" t="s">
        <v>18</v>
      </c>
      <c r="D1181" s="6">
        <v>41.497444999999999</v>
      </c>
      <c r="E1181" s="6">
        <v>36.083195000000003</v>
      </c>
      <c r="G1181" s="7" t="s">
        <v>1031</v>
      </c>
      <c r="H1181" s="7" t="s">
        <v>1031</v>
      </c>
      <c r="I1181" s="7" t="s">
        <v>1031</v>
      </c>
      <c r="J1181" t="str">
        <f>VLOOKUP(A:A,[1]Sayfa1!$G:$K,5,0)</f>
        <v>CUMHURİYET MH. 23 NİSAN CD. İNCİ SİT. A/APT. NO:2 /1 BAFRA SAMSUN</v>
      </c>
      <c r="K1181" t="str">
        <f>VLOOKUP(A:A,[1]Sayfa1!$G:$M,7,0)</f>
        <v>SAMSUN</v>
      </c>
      <c r="L1181" t="str">
        <f>VLOOKUP(A:A,[1]Sayfa1!$G:$L,6,0)</f>
        <v>BAFRA</v>
      </c>
      <c r="M1181" s="3">
        <v>1</v>
      </c>
      <c r="N1181" s="3">
        <v>1</v>
      </c>
      <c r="O1181" s="10">
        <v>0</v>
      </c>
      <c r="P1181" s="3">
        <v>0</v>
      </c>
    </row>
    <row r="1182" spans="1:16" x14ac:dyDescent="0.3">
      <c r="A1182" s="6" t="s">
        <v>4041</v>
      </c>
      <c r="B1182" s="6" t="s">
        <v>4042</v>
      </c>
      <c r="C1182" s="2" t="s">
        <v>18</v>
      </c>
      <c r="D1182" s="6">
        <v>41.559174900000002</v>
      </c>
      <c r="E1182" s="6">
        <v>35.920799700000003</v>
      </c>
      <c r="G1182" s="7" t="s">
        <v>1031</v>
      </c>
      <c r="H1182" s="7" t="s">
        <v>1031</v>
      </c>
      <c r="I1182" s="7" t="s">
        <v>1031</v>
      </c>
      <c r="J1182" t="str">
        <f>VLOOKUP(A:A,[1]Sayfa1!$G:$K,5,0)</f>
        <v>İSHAKLI MH. U.HASAN SK. KAZMAZ AP NO:1-5 BAFRA SAMSUN</v>
      </c>
      <c r="K1182" t="str">
        <f>VLOOKUP(A:A,[1]Sayfa1!$G:$M,7,0)</f>
        <v>SAMSUN</v>
      </c>
      <c r="L1182" t="str">
        <f>VLOOKUP(A:A,[1]Sayfa1!$G:$L,6,0)</f>
        <v>BAFRA</v>
      </c>
      <c r="M1182" s="3">
        <v>1</v>
      </c>
      <c r="N1182" s="3">
        <v>1</v>
      </c>
      <c r="O1182" s="10">
        <v>0</v>
      </c>
      <c r="P1182" s="3">
        <v>0</v>
      </c>
    </row>
    <row r="1183" spans="1:16" x14ac:dyDescent="0.3">
      <c r="A1183" s="6" t="s">
        <v>4043</v>
      </c>
      <c r="B1183" s="6" t="s">
        <v>4044</v>
      </c>
      <c r="C1183" s="2" t="s">
        <v>18</v>
      </c>
      <c r="D1183" s="6">
        <v>41.495462099999997</v>
      </c>
      <c r="E1183" s="6">
        <v>36.075333700000002</v>
      </c>
      <c r="G1183" s="7" t="s">
        <v>1031</v>
      </c>
      <c r="H1183" s="7" t="s">
        <v>1031</v>
      </c>
      <c r="I1183" s="7" t="s">
        <v>1031</v>
      </c>
      <c r="J1183" t="str">
        <f>VLOOKUP(A:A,[1]Sayfa1!$G:$K,5,0)</f>
        <v>PAZAR MH. ATATÜRK BUL. NO:185/A ADRES KODU : 2677021848 19MAYIS SAMSUN</v>
      </c>
      <c r="K1183" t="str">
        <f>VLOOKUP(A:A,[1]Sayfa1!$G:$M,7,0)</f>
        <v>SAMSUN</v>
      </c>
      <c r="L1183" t="str">
        <f>VLOOKUP(A:A,[1]Sayfa1!$G:$L,6,0)</f>
        <v>19MAYIS</v>
      </c>
      <c r="M1183" s="3">
        <v>1</v>
      </c>
      <c r="N1183" s="3">
        <v>1</v>
      </c>
      <c r="O1183" s="10">
        <v>0</v>
      </c>
      <c r="P1183" s="3">
        <v>0</v>
      </c>
    </row>
    <row r="1184" spans="1:16" x14ac:dyDescent="0.3">
      <c r="A1184" s="6" t="s">
        <v>4045</v>
      </c>
      <c r="B1184" s="6" t="s">
        <v>4046</v>
      </c>
      <c r="C1184" s="2" t="s">
        <v>18</v>
      </c>
      <c r="D1184" s="6">
        <v>41.431387000000001</v>
      </c>
      <c r="E1184" s="6">
        <v>36.149925699999997</v>
      </c>
      <c r="G1184" s="7" t="s">
        <v>1031</v>
      </c>
      <c r="H1184" s="7" t="s">
        <v>1031</v>
      </c>
      <c r="I1184" s="7" t="s">
        <v>1031</v>
      </c>
      <c r="J1184" t="str">
        <f>VLOOKUP(A:A,[1]Sayfa1!$G:$K,5,0)</f>
        <v>CAMİİ MH. ATATÜRK 8. KISIM BLV. NO:72/A ADRES KODU:1589283140 ATAKUM SAMSUN</v>
      </c>
      <c r="K1184" t="str">
        <f>VLOOKUP(A:A,[1]Sayfa1!$G:$M,7,0)</f>
        <v>SAMSUN</v>
      </c>
      <c r="L1184" t="str">
        <f>VLOOKUP(A:A,[1]Sayfa1!$G:$L,6,0)</f>
        <v>ATAKUM</v>
      </c>
      <c r="M1184" s="3">
        <v>1</v>
      </c>
      <c r="N1184" s="3">
        <v>1</v>
      </c>
      <c r="O1184" s="10">
        <v>0</v>
      </c>
      <c r="P1184" s="3">
        <v>0</v>
      </c>
    </row>
    <row r="1185" spans="1:16" x14ac:dyDescent="0.3">
      <c r="A1185" s="6" t="s">
        <v>4047</v>
      </c>
      <c r="B1185" s="6" t="s">
        <v>4048</v>
      </c>
      <c r="C1185" s="2" t="s">
        <v>18</v>
      </c>
      <c r="D1185" s="6">
        <v>41.562537399999997</v>
      </c>
      <c r="E1185" s="6">
        <v>35.911277200000001</v>
      </c>
      <c r="G1185" s="7" t="s">
        <v>1031</v>
      </c>
      <c r="H1185" s="7" t="s">
        <v>1031</v>
      </c>
      <c r="I1185" s="7" t="s">
        <v>1031</v>
      </c>
      <c r="J1185" t="str">
        <f>VLOOKUP(A:A,[1]Sayfa1!$G:$K,5,0)</f>
        <v>İSMETPAŞA MH. İSMETPAŞA CD. NO:49-51/A BAFRA SAMSUN</v>
      </c>
      <c r="K1185" t="str">
        <f>VLOOKUP(A:A,[1]Sayfa1!$G:$M,7,0)</f>
        <v>SAMSUN</v>
      </c>
      <c r="L1185" t="str">
        <f>VLOOKUP(A:A,[1]Sayfa1!$G:$L,6,0)</f>
        <v>BAFRA</v>
      </c>
      <c r="M1185" s="3">
        <v>1</v>
      </c>
      <c r="N1185" s="3">
        <v>1</v>
      </c>
      <c r="O1185" s="10">
        <v>0</v>
      </c>
      <c r="P1185" s="3">
        <v>0</v>
      </c>
    </row>
    <row r="1186" spans="1:16" x14ac:dyDescent="0.3">
      <c r="A1186" s="6" t="s">
        <v>4049</v>
      </c>
      <c r="B1186" s="6" t="s">
        <v>4050</v>
      </c>
      <c r="C1186" s="2" t="s">
        <v>18</v>
      </c>
      <c r="D1186" s="6">
        <v>41.567464600000001</v>
      </c>
      <c r="E1186" s="6">
        <v>35.9019336</v>
      </c>
      <c r="G1186" s="7" t="s">
        <v>1031</v>
      </c>
      <c r="H1186" s="7" t="s">
        <v>1031</v>
      </c>
      <c r="I1186" s="7" t="s">
        <v>1031</v>
      </c>
      <c r="J1186" t="str">
        <f>VLOOKUP(A:A,[1]Sayfa1!$G:$K,5,0)</f>
        <v>ÇİLHANE MAH. BELEDİYE CAD. ÖZMENLER İŞ HANI SİTESİ NO:8/A BAFRA SAMSUN</v>
      </c>
      <c r="K1186" t="str">
        <f>VLOOKUP(A:A,[1]Sayfa1!$G:$M,7,0)</f>
        <v>SAMSUN</v>
      </c>
      <c r="L1186" t="str">
        <f>VLOOKUP(A:A,[1]Sayfa1!$G:$L,6,0)</f>
        <v>BAFRA</v>
      </c>
      <c r="M1186" s="3">
        <v>1</v>
      </c>
      <c r="N1186" s="3">
        <v>1</v>
      </c>
      <c r="O1186" s="10">
        <v>0</v>
      </c>
      <c r="P1186" s="3">
        <v>0</v>
      </c>
    </row>
    <row r="1187" spans="1:16" x14ac:dyDescent="0.3">
      <c r="A1187" s="6" t="s">
        <v>4051</v>
      </c>
      <c r="B1187" s="6" t="s">
        <v>4052</v>
      </c>
      <c r="C1187" s="2" t="s">
        <v>18</v>
      </c>
      <c r="D1187" s="6">
        <v>41.555880999999999</v>
      </c>
      <c r="E1187" s="6">
        <v>35.905452799999999</v>
      </c>
      <c r="G1187" s="7" t="s">
        <v>1031</v>
      </c>
      <c r="H1187" s="7" t="s">
        <v>1031</v>
      </c>
      <c r="I1187" s="7" t="s">
        <v>1031</v>
      </c>
      <c r="J1187" t="str">
        <f>VLOOKUP(A:A,[1]Sayfa1!$G:$K,5,0)</f>
        <v>FEVZİ ÇAKMAK MAH. AKSU 1. SOK. NO:30 BAFRA SAMSUN</v>
      </c>
      <c r="K1187" t="str">
        <f>VLOOKUP(A:A,[1]Sayfa1!$G:$M,7,0)</f>
        <v>SAMSUN</v>
      </c>
      <c r="L1187" t="str">
        <f>VLOOKUP(A:A,[1]Sayfa1!$G:$L,6,0)</f>
        <v>BAFRA</v>
      </c>
      <c r="M1187" s="3">
        <v>1</v>
      </c>
      <c r="N1187" s="3">
        <v>1</v>
      </c>
      <c r="O1187" s="10">
        <v>0</v>
      </c>
      <c r="P1187" s="3">
        <v>0</v>
      </c>
    </row>
    <row r="1188" spans="1:16" x14ac:dyDescent="0.3">
      <c r="A1188" s="6" t="s">
        <v>4053</v>
      </c>
      <c r="B1188" s="6" t="s">
        <v>4054</v>
      </c>
      <c r="C1188" s="2" t="s">
        <v>18</v>
      </c>
      <c r="D1188" s="6">
        <v>41.360088300000001</v>
      </c>
      <c r="E1188" s="6">
        <v>36.2333517</v>
      </c>
      <c r="G1188" s="7" t="s">
        <v>1031</v>
      </c>
      <c r="H1188" s="7" t="s">
        <v>1031</v>
      </c>
      <c r="I1188" s="7" t="s">
        <v>1031</v>
      </c>
      <c r="J1188" t="str">
        <f>VLOOKUP(A:A,[1]Sayfa1!$G:$K,5,0)</f>
        <v>KÖRFEZ MAH. TOPLU KONUT BUL. TELLİOĞLU APT. NO:1A 364121531 ATAKUM SAMSUN</v>
      </c>
      <c r="K1188" t="str">
        <f>VLOOKUP(A:A,[1]Sayfa1!$G:$M,7,0)</f>
        <v>SAMSUN</v>
      </c>
      <c r="L1188" t="str">
        <f>VLOOKUP(A:A,[1]Sayfa1!$G:$L,6,0)</f>
        <v>ATAKUM</v>
      </c>
      <c r="M1188" s="3">
        <v>1</v>
      </c>
      <c r="N1188" s="3">
        <v>1</v>
      </c>
      <c r="O1188" s="10">
        <v>0</v>
      </c>
      <c r="P1188" s="3">
        <v>0</v>
      </c>
    </row>
    <row r="1189" spans="1:16" x14ac:dyDescent="0.3">
      <c r="A1189" s="6" t="s">
        <v>4055</v>
      </c>
      <c r="B1189" s="6" t="s">
        <v>4056</v>
      </c>
      <c r="C1189" s="2" t="s">
        <v>18</v>
      </c>
      <c r="D1189" s="6">
        <v>41.355525</v>
      </c>
      <c r="E1189" s="6">
        <v>36.210954999999998</v>
      </c>
      <c r="G1189" s="7" t="s">
        <v>1031</v>
      </c>
      <c r="H1189" s="7" t="s">
        <v>1031</v>
      </c>
      <c r="I1189" s="7" t="s">
        <v>1031</v>
      </c>
      <c r="J1189" t="str">
        <f>VLOOKUP(A:A,[1]Sayfa1!$G:$K,5,0)</f>
        <v>BÜYÜKOYUMCA MAH. TOPLU KONUT BULV. NO:156 A ADRES KODU:1412887638 ATAKUM SAMSUN</v>
      </c>
      <c r="K1189" t="str">
        <f>VLOOKUP(A:A,[1]Sayfa1!$G:$M,7,0)</f>
        <v>SAMSUN</v>
      </c>
      <c r="L1189" t="str">
        <f>VLOOKUP(A:A,[1]Sayfa1!$G:$L,6,0)</f>
        <v>ATAKUM</v>
      </c>
      <c r="M1189" s="3">
        <v>1</v>
      </c>
      <c r="N1189" s="3">
        <v>1</v>
      </c>
      <c r="O1189" s="10">
        <v>0</v>
      </c>
      <c r="P1189" s="3">
        <v>0</v>
      </c>
    </row>
    <row r="1190" spans="1:16" x14ac:dyDescent="0.3">
      <c r="A1190" s="6" t="s">
        <v>4057</v>
      </c>
      <c r="B1190" s="6" t="s">
        <v>4058</v>
      </c>
      <c r="C1190" s="2" t="s">
        <v>18</v>
      </c>
      <c r="D1190" s="6">
        <v>41.574315499999997</v>
      </c>
      <c r="E1190" s="6">
        <v>35.917782099999997</v>
      </c>
      <c r="G1190" s="7" t="s">
        <v>1031</v>
      </c>
      <c r="H1190" s="7" t="s">
        <v>1031</v>
      </c>
      <c r="I1190" s="7" t="s">
        <v>1031</v>
      </c>
      <c r="J1190" t="str">
        <f>VLOOKUP(A:A,[1]Sayfa1!$G:$K,5,0)</f>
        <v>KEMAL PAŞA MAH. ŞEHİT MAHMUT ÖZCAN CAD. NO:4/B BAFRA SAMSUN</v>
      </c>
      <c r="K1190" t="str">
        <f>VLOOKUP(A:A,[1]Sayfa1!$G:$M,7,0)</f>
        <v>SAMSUN</v>
      </c>
      <c r="L1190" t="str">
        <f>VLOOKUP(A:A,[1]Sayfa1!$G:$L,6,0)</f>
        <v>BAFRA</v>
      </c>
      <c r="M1190" s="3">
        <v>1</v>
      </c>
      <c r="N1190" s="3">
        <v>1</v>
      </c>
      <c r="O1190" s="10">
        <v>0</v>
      </c>
      <c r="P1190" s="3">
        <v>0</v>
      </c>
    </row>
    <row r="1191" spans="1:16" x14ac:dyDescent="0.3">
      <c r="A1191" s="6" t="s">
        <v>4059</v>
      </c>
      <c r="B1191" s="6" t="s">
        <v>4060</v>
      </c>
      <c r="C1191" s="2" t="s">
        <v>18</v>
      </c>
      <c r="D1191" s="6">
        <v>41.557060200000002</v>
      </c>
      <c r="E1191" s="6">
        <v>35.918342299999999</v>
      </c>
      <c r="G1191" s="7" t="s">
        <v>1031</v>
      </c>
      <c r="H1191" s="7" t="s">
        <v>1031</v>
      </c>
      <c r="I1191" s="7" t="s">
        <v>1031</v>
      </c>
      <c r="J1191" t="str">
        <f>VLOOKUP(A:A,[1]Sayfa1!$G:$K,5,0)</f>
        <v>ALTINYAPRAK MAH. ÇİCEKLİ 4. SOK. NO:73/A-B BAFRA SAMSUN</v>
      </c>
      <c r="K1191" t="str">
        <f>VLOOKUP(A:A,[1]Sayfa1!$G:$M,7,0)</f>
        <v>SAMSUN</v>
      </c>
      <c r="L1191" t="str">
        <f>VLOOKUP(A:A,[1]Sayfa1!$G:$L,6,0)</f>
        <v>BAFRA</v>
      </c>
      <c r="M1191" s="3">
        <v>1</v>
      </c>
      <c r="N1191" s="3">
        <v>1</v>
      </c>
      <c r="O1191" s="10">
        <v>0</v>
      </c>
      <c r="P1191" s="3">
        <v>0</v>
      </c>
    </row>
    <row r="1192" spans="1:16" x14ac:dyDescent="0.3">
      <c r="A1192" s="6" t="s">
        <v>4061</v>
      </c>
      <c r="B1192" s="6" t="s">
        <v>4062</v>
      </c>
      <c r="C1192" s="2" t="s">
        <v>18</v>
      </c>
      <c r="D1192" s="6">
        <v>41.366027199999998</v>
      </c>
      <c r="E1192" s="6">
        <v>36.222201599999998</v>
      </c>
      <c r="G1192" s="7" t="s">
        <v>1031</v>
      </c>
      <c r="H1192" s="7" t="s">
        <v>1031</v>
      </c>
      <c r="I1192" s="7" t="s">
        <v>1031</v>
      </c>
      <c r="J1192" t="str">
        <f>VLOOKUP(A:A,[1]Sayfa1!$G:$K,5,0)</f>
        <v>KÖRFEZ MAH. AZİZ IŞIK BULVARI NO:33 A-B ATAKUM SAMSUN</v>
      </c>
      <c r="K1192" t="str">
        <f>VLOOKUP(A:A,[1]Sayfa1!$G:$M,7,0)</f>
        <v>SAMSUN</v>
      </c>
      <c r="L1192" t="str">
        <f>VLOOKUP(A:A,[1]Sayfa1!$G:$L,6,0)</f>
        <v>ATAKUM</v>
      </c>
      <c r="M1192" s="3">
        <v>1</v>
      </c>
      <c r="N1192" s="3">
        <v>1</v>
      </c>
      <c r="O1192" s="10">
        <v>0</v>
      </c>
      <c r="P1192" s="3">
        <v>0</v>
      </c>
    </row>
    <row r="1193" spans="1:16" x14ac:dyDescent="0.3">
      <c r="A1193" s="6" t="s">
        <v>4063</v>
      </c>
      <c r="B1193" s="6" t="s">
        <v>4064</v>
      </c>
      <c r="C1193" s="2" t="s">
        <v>18</v>
      </c>
      <c r="D1193" s="6">
        <v>41.565559999999998</v>
      </c>
      <c r="E1193" s="6">
        <v>35.9056231</v>
      </c>
      <c r="G1193" s="7" t="s">
        <v>1031</v>
      </c>
      <c r="H1193" s="7" t="s">
        <v>1031</v>
      </c>
      <c r="I1193" s="7" t="s">
        <v>1031</v>
      </c>
      <c r="J1193" t="str">
        <f>VLOOKUP(A:A,[1]Sayfa1!$G:$K,5,0)</f>
        <v>TABAKHANE MAH. EMİREFENDİ BULV. NO:28 A-B BAFRA SAMSUN</v>
      </c>
      <c r="K1193" t="str">
        <f>VLOOKUP(A:A,[1]Sayfa1!$G:$M,7,0)</f>
        <v>SAMSUN</v>
      </c>
      <c r="L1193" t="str">
        <f>VLOOKUP(A:A,[1]Sayfa1!$G:$L,6,0)</f>
        <v>BAFRA</v>
      </c>
      <c r="M1193" s="3">
        <v>1</v>
      </c>
      <c r="N1193" s="3">
        <v>1</v>
      </c>
      <c r="O1193" s="10">
        <v>0</v>
      </c>
      <c r="P1193" s="3">
        <v>0</v>
      </c>
    </row>
    <row r="1194" spans="1:16" x14ac:dyDescent="0.3">
      <c r="A1194" s="6" t="s">
        <v>4065</v>
      </c>
      <c r="B1194" s="6" t="s">
        <v>4066</v>
      </c>
      <c r="C1194" s="2" t="s">
        <v>18</v>
      </c>
      <c r="D1194" s="6">
        <v>41.563432800000001</v>
      </c>
      <c r="E1194" s="6">
        <v>35.915804000000001</v>
      </c>
      <c r="G1194" s="7" t="s">
        <v>1031</v>
      </c>
      <c r="H1194" s="7" t="s">
        <v>1031</v>
      </c>
      <c r="I1194" s="7" t="s">
        <v>1031</v>
      </c>
      <c r="J1194" t="str">
        <f>VLOOKUP(A:A,[1]Sayfa1!$G:$K,5,0)</f>
        <v>ALTINYAPRAK MAH. SİRUNİ SOK NO:1/3 BAFRA SAMSUN</v>
      </c>
      <c r="K1194" t="str">
        <f>VLOOKUP(A:A,[1]Sayfa1!$G:$M,7,0)</f>
        <v>SAMSUN</v>
      </c>
      <c r="L1194" t="str">
        <f>VLOOKUP(A:A,[1]Sayfa1!$G:$L,6,0)</f>
        <v>BAFRA</v>
      </c>
      <c r="M1194" s="3">
        <v>1</v>
      </c>
      <c r="N1194" s="3">
        <v>1</v>
      </c>
      <c r="O1194" s="10">
        <v>0</v>
      </c>
      <c r="P1194" s="3">
        <v>0</v>
      </c>
    </row>
    <row r="1195" spans="1:16" x14ac:dyDescent="0.3">
      <c r="A1195" s="6" t="s">
        <v>4067</v>
      </c>
      <c r="B1195" s="6" t="s">
        <v>4068</v>
      </c>
      <c r="C1195" s="2" t="s">
        <v>18</v>
      </c>
      <c r="D1195" s="6">
        <v>41.558021699999998</v>
      </c>
      <c r="E1195" s="6">
        <v>35.899589400000004</v>
      </c>
      <c r="G1195" s="7" t="s">
        <v>1031</v>
      </c>
      <c r="H1195" s="7" t="s">
        <v>1031</v>
      </c>
      <c r="I1195" s="7" t="s">
        <v>1031</v>
      </c>
      <c r="J1195" t="str">
        <f>VLOOKUP(A:A,[1]Sayfa1!$G:$K,5,0)</f>
        <v>ALPARSLAN MAH. CAD. NO:52/ B BAFRA SAMSUN</v>
      </c>
      <c r="K1195" t="str">
        <f>VLOOKUP(A:A,[1]Sayfa1!$G:$M,7,0)</f>
        <v>SAMSUN</v>
      </c>
      <c r="L1195" t="str">
        <f>VLOOKUP(A:A,[1]Sayfa1!$G:$L,6,0)</f>
        <v>BAFRA</v>
      </c>
      <c r="M1195" s="3">
        <v>1</v>
      </c>
      <c r="N1195" s="3">
        <v>1</v>
      </c>
      <c r="O1195" s="10">
        <v>0</v>
      </c>
      <c r="P1195" s="3">
        <v>0</v>
      </c>
    </row>
    <row r="1196" spans="1:16" x14ac:dyDescent="0.3">
      <c r="A1196" s="6" t="s">
        <v>4069</v>
      </c>
      <c r="B1196" s="6" t="s">
        <v>4070</v>
      </c>
      <c r="C1196" s="2" t="s">
        <v>18</v>
      </c>
      <c r="D1196" s="6">
        <v>41.568542100000002</v>
      </c>
      <c r="E1196" s="6">
        <v>35.899000800000003</v>
      </c>
      <c r="G1196" s="7" t="s">
        <v>1031</v>
      </c>
      <c r="H1196" s="7" t="s">
        <v>1031</v>
      </c>
      <c r="I1196" s="7" t="s">
        <v>1031</v>
      </c>
      <c r="J1196" t="str">
        <f>VLOOKUP(A:A,[1]Sayfa1!$G:$K,5,0)</f>
        <v>CİLHANE MH. YENİ 3 SK. NO:15 BAFRA SAMSUN</v>
      </c>
      <c r="K1196" t="str">
        <f>VLOOKUP(A:A,[1]Sayfa1!$G:$M,7,0)</f>
        <v>SAMSUN</v>
      </c>
      <c r="L1196" t="str">
        <f>VLOOKUP(A:A,[1]Sayfa1!$G:$L,6,0)</f>
        <v>BAFRA</v>
      </c>
      <c r="M1196" s="3">
        <v>1</v>
      </c>
      <c r="N1196" s="3">
        <v>1</v>
      </c>
      <c r="O1196" s="10">
        <v>0</v>
      </c>
      <c r="P1196" s="3">
        <v>0</v>
      </c>
    </row>
    <row r="1197" spans="1:16" x14ac:dyDescent="0.3">
      <c r="A1197" s="6" t="s">
        <v>4071</v>
      </c>
      <c r="B1197" s="6" t="s">
        <v>4072</v>
      </c>
      <c r="C1197" s="2" t="s">
        <v>18</v>
      </c>
      <c r="D1197" s="6">
        <v>41.363041699999997</v>
      </c>
      <c r="E1197" s="6">
        <v>36.230211699999998</v>
      </c>
      <c r="G1197" s="7" t="s">
        <v>1031</v>
      </c>
      <c r="H1197" s="7" t="s">
        <v>1031</v>
      </c>
      <c r="I1197" s="7" t="s">
        <v>1031</v>
      </c>
      <c r="J1197" t="str">
        <f>VLOOKUP(A:A,[1]Sayfa1!$G:$K,5,0)</f>
        <v>KÖRFEZ MAH. ÇİLİNGİROĞLU CAD. NO:41A ASARCIK SAMSUN</v>
      </c>
      <c r="K1197" t="str">
        <f>VLOOKUP(A:A,[1]Sayfa1!$G:$M,7,0)</f>
        <v>SAMSUN</v>
      </c>
      <c r="L1197" t="str">
        <f>VLOOKUP(A:A,[1]Sayfa1!$G:$L,6,0)</f>
        <v>ASARCIK</v>
      </c>
      <c r="M1197" s="3">
        <v>1</v>
      </c>
      <c r="N1197" s="3">
        <v>1</v>
      </c>
      <c r="O1197" s="10">
        <v>0</v>
      </c>
      <c r="P1197" s="3">
        <v>0</v>
      </c>
    </row>
    <row r="1198" spans="1:16" x14ac:dyDescent="0.3">
      <c r="A1198" s="6" t="s">
        <v>4073</v>
      </c>
      <c r="B1198" s="6" t="s">
        <v>4074</v>
      </c>
      <c r="C1198" s="2" t="s">
        <v>18</v>
      </c>
      <c r="D1198" s="6">
        <v>41.565320300000003</v>
      </c>
      <c r="E1198" s="6">
        <v>35.898958299999997</v>
      </c>
      <c r="G1198" s="7" t="s">
        <v>1031</v>
      </c>
      <c r="H1198" s="7" t="s">
        <v>1031</v>
      </c>
      <c r="I1198" s="7" t="s">
        <v>1031</v>
      </c>
      <c r="J1198" t="str">
        <f>VLOOKUP(A:A,[1]Sayfa1!$G:$K,5,0)</f>
        <v>KIZILIRMAK MAH. YAVUZ SULTAN SELİM 1 SOK. NO:1/D BAFRA SAMSUN</v>
      </c>
      <c r="K1198" t="str">
        <f>VLOOKUP(A:A,[1]Sayfa1!$G:$M,7,0)</f>
        <v>SAMSUN</v>
      </c>
      <c r="L1198" t="str">
        <f>VLOOKUP(A:A,[1]Sayfa1!$G:$L,6,0)</f>
        <v>BAFRA</v>
      </c>
      <c r="M1198" s="3">
        <v>1</v>
      </c>
      <c r="N1198" s="3">
        <v>1</v>
      </c>
      <c r="O1198" s="10">
        <v>0</v>
      </c>
      <c r="P1198" s="3">
        <v>0</v>
      </c>
    </row>
    <row r="1199" spans="1:16" x14ac:dyDescent="0.3">
      <c r="A1199" s="6" t="s">
        <v>4075</v>
      </c>
      <c r="B1199" s="6" t="s">
        <v>4076</v>
      </c>
      <c r="C1199" s="2" t="s">
        <v>18</v>
      </c>
      <c r="D1199" s="6">
        <v>41.550338699999998</v>
      </c>
      <c r="E1199" s="6">
        <v>35.925618100000001</v>
      </c>
      <c r="G1199" s="7" t="s">
        <v>1031</v>
      </c>
      <c r="H1199" s="7" t="s">
        <v>1031</v>
      </c>
      <c r="I1199" s="7" t="s">
        <v>1031</v>
      </c>
      <c r="J1199" t="str">
        <f>VLOOKUP(A:A,[1]Sayfa1!$G:$K,5,0)</f>
        <v>FEVZİ ÇAKMAK MH. SAMSUN CD. NO:266/2  BAFRA SAMSUN</v>
      </c>
      <c r="K1199" t="str">
        <f>VLOOKUP(A:A,[1]Sayfa1!$G:$M,7,0)</f>
        <v>SAMSUN</v>
      </c>
      <c r="L1199" t="str">
        <f>VLOOKUP(A:A,[1]Sayfa1!$G:$L,6,0)</f>
        <v>BAFRA</v>
      </c>
      <c r="M1199" s="3">
        <v>1</v>
      </c>
      <c r="N1199" s="3">
        <v>1</v>
      </c>
      <c r="O1199" s="10">
        <v>0</v>
      </c>
      <c r="P1199" s="3">
        <v>0</v>
      </c>
    </row>
    <row r="1200" spans="1:16" x14ac:dyDescent="0.3">
      <c r="A1200" s="6" t="s">
        <v>4077</v>
      </c>
      <c r="B1200" s="6" t="s">
        <v>4078</v>
      </c>
      <c r="C1200" s="2" t="s">
        <v>18</v>
      </c>
      <c r="D1200" s="6">
        <v>41.565438700000001</v>
      </c>
      <c r="E1200" s="6">
        <v>35.9232078</v>
      </c>
      <c r="G1200" s="7" t="s">
        <v>1031</v>
      </c>
      <c r="H1200" s="7" t="s">
        <v>1031</v>
      </c>
      <c r="I1200" s="7" t="s">
        <v>1031</v>
      </c>
      <c r="J1200" t="str">
        <f>VLOOKUP(A:A,[1]Sayfa1!$G:$K,5,0)</f>
        <v>MEVLANA MAH TEPE SOK. NO:48/A BAFRA SAMSUN</v>
      </c>
      <c r="K1200" t="str">
        <f>VLOOKUP(A:A,[1]Sayfa1!$G:$M,7,0)</f>
        <v>SAMSUN</v>
      </c>
      <c r="L1200" t="str">
        <f>VLOOKUP(A:A,[1]Sayfa1!$G:$L,6,0)</f>
        <v>BAFRA</v>
      </c>
      <c r="M1200" s="3">
        <v>1</v>
      </c>
      <c r="N1200" s="3">
        <v>1</v>
      </c>
      <c r="O1200" s="10">
        <v>0</v>
      </c>
      <c r="P1200" s="3">
        <v>0</v>
      </c>
    </row>
    <row r="1201" spans="1:16" x14ac:dyDescent="0.3">
      <c r="A1201" s="6" t="s">
        <v>4079</v>
      </c>
      <c r="B1201" s="6" t="s">
        <v>4080</v>
      </c>
      <c r="C1201" s="2" t="s">
        <v>18</v>
      </c>
      <c r="D1201" s="6">
        <v>41.370785499999997</v>
      </c>
      <c r="E1201" s="6">
        <v>36.228225700000003</v>
      </c>
      <c r="G1201" s="7" t="s">
        <v>1031</v>
      </c>
      <c r="H1201" s="7" t="s">
        <v>1031</v>
      </c>
      <c r="I1201" s="7" t="s">
        <v>1031</v>
      </c>
      <c r="J1201" t="str">
        <f>VLOOKUP(A:A,[1]Sayfa1!$G:$K,5,0)</f>
        <v>KÖRFEZ MAH ATATÜRK 5. KISIM BULVARI NO:144A ATAKUM SAMSUN</v>
      </c>
      <c r="K1201" t="str">
        <f>VLOOKUP(A:A,[1]Sayfa1!$G:$M,7,0)</f>
        <v>SAMSUN</v>
      </c>
      <c r="L1201" t="str">
        <f>VLOOKUP(A:A,[1]Sayfa1!$G:$L,6,0)</f>
        <v>ATAKUM</v>
      </c>
      <c r="M1201" s="3">
        <v>1</v>
      </c>
      <c r="N1201" s="3">
        <v>1</v>
      </c>
      <c r="O1201" s="10">
        <v>0</v>
      </c>
      <c r="P1201" s="3">
        <v>0</v>
      </c>
    </row>
    <row r="1202" spans="1:16" x14ac:dyDescent="0.3">
      <c r="A1202" s="6" t="s">
        <v>4081</v>
      </c>
      <c r="B1202" s="6" t="s">
        <v>4082</v>
      </c>
      <c r="C1202" s="2" t="s">
        <v>18</v>
      </c>
      <c r="D1202" s="6">
        <v>41.560471900000003</v>
      </c>
      <c r="E1202" s="6">
        <v>35.899734700000003</v>
      </c>
      <c r="G1202" s="7" t="s">
        <v>1031</v>
      </c>
      <c r="H1202" s="7" t="s">
        <v>1031</v>
      </c>
      <c r="I1202" s="7" t="s">
        <v>1031</v>
      </c>
      <c r="J1202" t="str">
        <f>VLOOKUP(A:A,[1]Sayfa1!$G:$K,5,0)</f>
        <v>KAVAKPINAR MAH SÜLEYMAN TÜRK CAD. NO:48 BAFRA SAMSUN</v>
      </c>
      <c r="K1202" t="str">
        <f>VLOOKUP(A:A,[1]Sayfa1!$G:$M,7,0)</f>
        <v>SAMSUN</v>
      </c>
      <c r="L1202" t="str">
        <f>VLOOKUP(A:A,[1]Sayfa1!$G:$L,6,0)</f>
        <v>BAFRA</v>
      </c>
      <c r="M1202" s="3">
        <v>1</v>
      </c>
      <c r="N1202" s="3">
        <v>1</v>
      </c>
      <c r="O1202" s="10">
        <v>0</v>
      </c>
      <c r="P1202" s="3">
        <v>0</v>
      </c>
    </row>
    <row r="1203" spans="1:16" x14ac:dyDescent="0.3">
      <c r="A1203" s="6" t="s">
        <v>4083</v>
      </c>
      <c r="B1203" s="6" t="s">
        <v>4084</v>
      </c>
      <c r="C1203" s="2" t="s">
        <v>18</v>
      </c>
      <c r="D1203" s="6">
        <v>41.565807499999998</v>
      </c>
      <c r="E1203" s="6">
        <v>35.910021800000003</v>
      </c>
      <c r="G1203" s="7" t="s">
        <v>1031</v>
      </c>
      <c r="H1203" s="7" t="s">
        <v>1031</v>
      </c>
      <c r="I1203" s="7" t="s">
        <v>1031</v>
      </c>
      <c r="J1203" t="str">
        <f>VLOOKUP(A:A,[1]Sayfa1!$G:$K,5,0)</f>
        <v>İSMETPAŞA MAH İSMETPAŞA CAD. NO:5/7B BAFRA SAMSUN</v>
      </c>
      <c r="K1203" t="str">
        <f>VLOOKUP(A:A,[1]Sayfa1!$G:$M,7,0)</f>
        <v>SAMSUN</v>
      </c>
      <c r="L1203" t="str">
        <f>VLOOKUP(A:A,[1]Sayfa1!$G:$L,6,0)</f>
        <v>BAFRA</v>
      </c>
      <c r="M1203" s="3">
        <v>1</v>
      </c>
      <c r="N1203" s="3">
        <v>1</v>
      </c>
      <c r="O1203" s="10">
        <v>0</v>
      </c>
      <c r="P1203" s="3">
        <v>0</v>
      </c>
    </row>
    <row r="1204" spans="1:16" x14ac:dyDescent="0.3">
      <c r="A1204" s="6" t="s">
        <v>4085</v>
      </c>
      <c r="B1204" s="6" t="s">
        <v>4086</v>
      </c>
      <c r="C1204" s="2" t="s">
        <v>18</v>
      </c>
      <c r="D1204" s="6">
        <v>41.571387999999999</v>
      </c>
      <c r="E1204" s="6">
        <v>35.908552</v>
      </c>
      <c r="G1204" s="7" t="s">
        <v>1031</v>
      </c>
      <c r="H1204" s="7" t="s">
        <v>1031</v>
      </c>
      <c r="I1204" s="7" t="s">
        <v>1031</v>
      </c>
      <c r="J1204" t="str">
        <f>VLOOKUP(A:A,[1]Sayfa1!$G:$K,5,0)</f>
        <v>GAZİPAŞA MAH LİSE CAD. NO:13A BAFRA SAMSUN</v>
      </c>
      <c r="K1204" t="str">
        <f>VLOOKUP(A:A,[1]Sayfa1!$G:$M,7,0)</f>
        <v>SAMSUN</v>
      </c>
      <c r="L1204" t="str">
        <f>VLOOKUP(A:A,[1]Sayfa1!$G:$L,6,0)</f>
        <v>BAFRA</v>
      </c>
      <c r="M1204" s="3">
        <v>1</v>
      </c>
      <c r="N1204" s="3">
        <v>1</v>
      </c>
      <c r="O1204" s="10">
        <v>0</v>
      </c>
      <c r="P1204" s="3">
        <v>0</v>
      </c>
    </row>
    <row r="1205" spans="1:16" x14ac:dyDescent="0.3">
      <c r="A1205" s="6" t="s">
        <v>4087</v>
      </c>
      <c r="B1205" s="6" t="s">
        <v>4088</v>
      </c>
      <c r="C1205" s="2" t="s">
        <v>18</v>
      </c>
      <c r="D1205" s="6">
        <v>41.349548300000002</v>
      </c>
      <c r="E1205" s="6">
        <v>36.2473083</v>
      </c>
      <c r="G1205" s="7" t="s">
        <v>1031</v>
      </c>
      <c r="H1205" s="7" t="s">
        <v>1031</v>
      </c>
      <c r="I1205" s="7" t="s">
        <v>1031</v>
      </c>
      <c r="J1205" t="str">
        <f>VLOOKUP(A:A,[1]Sayfa1!$G:$K,5,0)</f>
        <v>GÜZELYALI MAH ADNAN MENDERES 2. KISIM BULVARI NO:97/A ATAKUM SAMSUN</v>
      </c>
      <c r="K1205" t="str">
        <f>VLOOKUP(A:A,[1]Sayfa1!$G:$M,7,0)</f>
        <v>SAMSUN</v>
      </c>
      <c r="L1205" t="str">
        <f>VLOOKUP(A:A,[1]Sayfa1!$G:$L,6,0)</f>
        <v>ATAKUM</v>
      </c>
      <c r="M1205" s="3">
        <v>1</v>
      </c>
      <c r="N1205" s="3">
        <v>1</v>
      </c>
      <c r="O1205" s="10">
        <v>0</v>
      </c>
      <c r="P1205" s="3">
        <v>0</v>
      </c>
    </row>
    <row r="1206" spans="1:16" x14ac:dyDescent="0.3">
      <c r="A1206" s="6" t="s">
        <v>4089</v>
      </c>
      <c r="B1206" s="6" t="s">
        <v>4090</v>
      </c>
      <c r="C1206" s="2" t="s">
        <v>18</v>
      </c>
      <c r="D1206" s="6">
        <v>41.5723099</v>
      </c>
      <c r="E1206" s="6">
        <v>35.918588999999997</v>
      </c>
      <c r="G1206" s="7" t="s">
        <v>1031</v>
      </c>
      <c r="H1206" s="7" t="s">
        <v>1031</v>
      </c>
      <c r="I1206" s="7" t="s">
        <v>1031</v>
      </c>
      <c r="J1206" t="str">
        <f>VLOOKUP(A:A,[1]Sayfa1!$G:$K,5,0)</f>
        <v>KEMALPAŞA MAH BAKIRPINAR SOK. NO:75A BAFRA SAMSUN</v>
      </c>
      <c r="K1206" t="str">
        <f>VLOOKUP(A:A,[1]Sayfa1!$G:$M,7,0)</f>
        <v>SAMSUN</v>
      </c>
      <c r="L1206" t="str">
        <f>VLOOKUP(A:A,[1]Sayfa1!$G:$L,6,0)</f>
        <v>BAFRA</v>
      </c>
      <c r="M1206" s="3">
        <v>1</v>
      </c>
      <c r="N1206" s="3">
        <v>1</v>
      </c>
      <c r="O1206" s="10">
        <v>0</v>
      </c>
      <c r="P1206" s="3">
        <v>0</v>
      </c>
    </row>
    <row r="1207" spans="1:16" x14ac:dyDescent="0.3">
      <c r="A1207" s="6" t="s">
        <v>4091</v>
      </c>
      <c r="B1207" s="6" t="s">
        <v>4092</v>
      </c>
      <c r="C1207" s="2" t="s">
        <v>18</v>
      </c>
      <c r="D1207" s="6">
        <v>41.554116399999998</v>
      </c>
      <c r="E1207" s="6">
        <v>35.8872274</v>
      </c>
      <c r="G1207" s="7" t="s">
        <v>1031</v>
      </c>
      <c r="H1207" s="7" t="s">
        <v>1031</v>
      </c>
      <c r="I1207" s="7" t="s">
        <v>1031</v>
      </c>
      <c r="J1207" t="str">
        <f>VLOOKUP(A:A,[1]Sayfa1!$G:$K,5,0)</f>
        <v>BAHÇELER MAH ELÇİBEY CAD. NO:144 BAFRA SAMSUN</v>
      </c>
      <c r="K1207" t="str">
        <f>VLOOKUP(A:A,[1]Sayfa1!$G:$M,7,0)</f>
        <v>SAMSUN</v>
      </c>
      <c r="L1207" t="str">
        <f>VLOOKUP(A:A,[1]Sayfa1!$G:$L,6,0)</f>
        <v>BAFRA</v>
      </c>
      <c r="M1207" s="3">
        <v>1</v>
      </c>
      <c r="N1207" s="3">
        <v>1</v>
      </c>
      <c r="O1207" s="10">
        <v>0</v>
      </c>
      <c r="P1207" s="3">
        <v>0</v>
      </c>
    </row>
    <row r="1208" spans="1:16" x14ac:dyDescent="0.3">
      <c r="A1208" s="6" t="s">
        <v>4093</v>
      </c>
      <c r="B1208" s="6" t="s">
        <v>4094</v>
      </c>
      <c r="C1208" s="2" t="s">
        <v>18</v>
      </c>
      <c r="D1208" s="6">
        <v>41.408369499999999</v>
      </c>
      <c r="E1208" s="6">
        <v>36.177578500000003</v>
      </c>
      <c r="G1208" s="7" t="s">
        <v>1031</v>
      </c>
      <c r="H1208" s="7" t="s">
        <v>1031</v>
      </c>
      <c r="I1208" s="7" t="s">
        <v>1031</v>
      </c>
      <c r="J1208" t="str">
        <f>VLOOKUP(A:A,[1]Sayfa1!$G:$K,5,0)</f>
        <v>ÇAKIRLAR MAH ATATÜRK 6.KISIM BULV. NO:395/A ATAKUM SAMSUN</v>
      </c>
      <c r="K1208" t="str">
        <f>VLOOKUP(A:A,[1]Sayfa1!$G:$M,7,0)</f>
        <v>SAMSUN</v>
      </c>
      <c r="L1208" t="str">
        <f>VLOOKUP(A:A,[1]Sayfa1!$G:$L,6,0)</f>
        <v>ATAKUM</v>
      </c>
      <c r="M1208" s="3">
        <v>1</v>
      </c>
      <c r="N1208" s="3">
        <v>1</v>
      </c>
      <c r="O1208" s="10">
        <v>0</v>
      </c>
      <c r="P1208" s="3">
        <v>0</v>
      </c>
    </row>
    <row r="1209" spans="1:16" x14ac:dyDescent="0.3">
      <c r="A1209" s="6" t="s">
        <v>4095</v>
      </c>
      <c r="B1209" s="6" t="s">
        <v>4096</v>
      </c>
      <c r="C1209" s="2" t="s">
        <v>18</v>
      </c>
      <c r="D1209" s="6">
        <v>41.419705700000002</v>
      </c>
      <c r="E1209" s="6">
        <v>36.1675878</v>
      </c>
      <c r="G1209" s="7" t="s">
        <v>1031</v>
      </c>
      <c r="H1209" s="7" t="s">
        <v>1031</v>
      </c>
      <c r="I1209" s="7" t="s">
        <v>1031</v>
      </c>
      <c r="J1209" t="str">
        <f>VLOOKUP(A:A,[1]Sayfa1!$G:$K,5,0)</f>
        <v>GÜZELYURT MAH ATATÜRK 7.KISIM BULV. NO:62 ATAKUM SAMSUN</v>
      </c>
      <c r="K1209" t="str">
        <f>VLOOKUP(A:A,[1]Sayfa1!$G:$M,7,0)</f>
        <v>SAMSUN</v>
      </c>
      <c r="L1209" t="str">
        <f>VLOOKUP(A:A,[1]Sayfa1!$G:$L,6,0)</f>
        <v>ATAKUM</v>
      </c>
      <c r="M1209" s="3">
        <v>1</v>
      </c>
      <c r="N1209" s="3">
        <v>1</v>
      </c>
      <c r="O1209" s="10">
        <v>0</v>
      </c>
      <c r="P1209" s="3">
        <v>0</v>
      </c>
    </row>
    <row r="1210" spans="1:16" x14ac:dyDescent="0.3">
      <c r="A1210" s="6" t="s">
        <v>4097</v>
      </c>
      <c r="B1210" s="6" t="s">
        <v>4098</v>
      </c>
      <c r="C1210" s="2" t="s">
        <v>18</v>
      </c>
      <c r="D1210" s="6">
        <v>41.5603379</v>
      </c>
      <c r="E1210" s="6">
        <v>35.925741500000001</v>
      </c>
      <c r="G1210" s="7" t="s">
        <v>1031</v>
      </c>
      <c r="H1210" s="7" t="s">
        <v>1031</v>
      </c>
      <c r="I1210" s="7" t="s">
        <v>1031</v>
      </c>
      <c r="J1210" t="str">
        <f>VLOOKUP(A:A,[1]Sayfa1!$G:$K,5,0)</f>
        <v>İSHAKLI MAH GÖKTUĞ SOKAK NO:2/A BAFRA SAMSUN</v>
      </c>
      <c r="K1210" t="str">
        <f>VLOOKUP(A:A,[1]Sayfa1!$G:$M,7,0)</f>
        <v>SAMSUN</v>
      </c>
      <c r="L1210" t="str">
        <f>VLOOKUP(A:A,[1]Sayfa1!$G:$L,6,0)</f>
        <v>BAFRA</v>
      </c>
      <c r="M1210" s="3">
        <v>1</v>
      </c>
      <c r="N1210" s="3">
        <v>1</v>
      </c>
      <c r="O1210" s="10">
        <v>0</v>
      </c>
      <c r="P1210" s="3">
        <v>0</v>
      </c>
    </row>
    <row r="1211" spans="1:16" x14ac:dyDescent="0.3">
      <c r="A1211" s="6" t="s">
        <v>4099</v>
      </c>
      <c r="B1211" s="6" t="s">
        <v>4100</v>
      </c>
      <c r="C1211" s="2" t="s">
        <v>18</v>
      </c>
      <c r="D1211" s="6">
        <v>41.554780000000001</v>
      </c>
      <c r="E1211" s="6">
        <v>35.90943</v>
      </c>
      <c r="G1211" s="7" t="s">
        <v>1031</v>
      </c>
      <c r="H1211" s="7" t="s">
        <v>1031</v>
      </c>
      <c r="I1211" s="7" t="s">
        <v>1031</v>
      </c>
      <c r="J1211" t="str">
        <f>VLOOKUP(A:A,[1]Sayfa1!$G:$K,5,0)</f>
        <v>FEVZİ ÇAKMAK MAH MERCAN SOK. NO:17A BAFRA SAMSUN</v>
      </c>
      <c r="K1211" t="str">
        <f>VLOOKUP(A:A,[1]Sayfa1!$G:$M,7,0)</f>
        <v>SAMSUN</v>
      </c>
      <c r="L1211" t="str">
        <f>VLOOKUP(A:A,[1]Sayfa1!$G:$L,6,0)</f>
        <v>BAFRA</v>
      </c>
      <c r="M1211" s="3">
        <v>1</v>
      </c>
      <c r="N1211" s="3">
        <v>1</v>
      </c>
      <c r="O1211" s="10">
        <v>0</v>
      </c>
      <c r="P1211" s="3">
        <v>0</v>
      </c>
    </row>
    <row r="1212" spans="1:16" x14ac:dyDescent="0.3">
      <c r="A1212" s="6" t="s">
        <v>4101</v>
      </c>
      <c r="B1212" s="6" t="s">
        <v>4102</v>
      </c>
      <c r="C1212" s="2" t="s">
        <v>18</v>
      </c>
      <c r="D1212" s="6">
        <v>42.0239555</v>
      </c>
      <c r="E1212" s="6">
        <v>35.153975199999998</v>
      </c>
      <c r="G1212" s="7" t="s">
        <v>1031</v>
      </c>
      <c r="H1212" s="7" t="s">
        <v>1031</v>
      </c>
      <c r="I1212" s="7" t="s">
        <v>1031</v>
      </c>
      <c r="J1212" t="str">
        <f>VLOOKUP(A:A,[1]Sayfa1!$G:$K,5,0)</f>
        <v>YENİ MAH DR. AHMET ÖRS CAD. NO:17 MERKEZ SINOP</v>
      </c>
      <c r="K1212" t="str">
        <f>VLOOKUP(A:A,[1]Sayfa1!$G:$M,7,0)</f>
        <v>SINOP</v>
      </c>
      <c r="L1212" t="str">
        <f>VLOOKUP(A:A,[1]Sayfa1!$G:$L,6,0)</f>
        <v>MERKEZ</v>
      </c>
      <c r="M1212" s="3">
        <v>1</v>
      </c>
      <c r="N1212" s="3">
        <v>1</v>
      </c>
      <c r="O1212" s="10">
        <v>0</v>
      </c>
      <c r="P1212" s="3">
        <v>0</v>
      </c>
    </row>
    <row r="1213" spans="1:16" x14ac:dyDescent="0.3">
      <c r="A1213" s="6" t="s">
        <v>4103</v>
      </c>
      <c r="B1213" s="6" t="s">
        <v>4104</v>
      </c>
      <c r="C1213" s="2" t="s">
        <v>18</v>
      </c>
      <c r="D1213" s="6">
        <v>41.632362399999998</v>
      </c>
      <c r="E1213" s="6">
        <v>35.529905100000001</v>
      </c>
      <c r="G1213" s="7" t="s">
        <v>1031</v>
      </c>
      <c r="H1213" s="7" t="s">
        <v>1031</v>
      </c>
      <c r="I1213" s="7" t="s">
        <v>1031</v>
      </c>
      <c r="J1213" t="str">
        <f>VLOOKUP(A:A,[1]Sayfa1!$G:$K,5,0)</f>
        <v>MERKEZ MAH PAZAR CAD. NO:2/A YAKAKENT SAMSUN</v>
      </c>
      <c r="K1213" t="str">
        <f>VLOOKUP(A:A,[1]Sayfa1!$G:$M,7,0)</f>
        <v>SAMSUN</v>
      </c>
      <c r="L1213" t="str">
        <f>VLOOKUP(A:A,[1]Sayfa1!$G:$L,6,0)</f>
        <v>YAKAKENT</v>
      </c>
      <c r="M1213" s="3">
        <v>1</v>
      </c>
      <c r="N1213" s="3">
        <v>1</v>
      </c>
      <c r="O1213" s="10">
        <v>0</v>
      </c>
      <c r="P1213" s="3">
        <v>0</v>
      </c>
    </row>
    <row r="1214" spans="1:16" x14ac:dyDescent="0.3">
      <c r="A1214" s="6" t="s">
        <v>4105</v>
      </c>
      <c r="B1214" s="6" t="s">
        <v>4106</v>
      </c>
      <c r="C1214" s="2" t="s">
        <v>18</v>
      </c>
      <c r="D1214" s="6">
        <v>41.801630500000002</v>
      </c>
      <c r="E1214" s="6">
        <v>35.195604699999997</v>
      </c>
      <c r="G1214" s="7" t="s">
        <v>1031</v>
      </c>
      <c r="H1214" s="7" t="s">
        <v>1031</v>
      </c>
      <c r="I1214" s="7" t="s">
        <v>1031</v>
      </c>
      <c r="J1214" t="str">
        <f>VLOOKUP(A:A,[1]Sayfa1!$G:$K,5,0)</f>
        <v>ÇARŞI MAH ZİNCİRKUYU CAD. NO:15 GERZE SINOP</v>
      </c>
      <c r="K1214" t="str">
        <f>VLOOKUP(A:A,[1]Sayfa1!$G:$M,7,0)</f>
        <v>SINOP</v>
      </c>
      <c r="L1214" t="str">
        <f>VLOOKUP(A:A,[1]Sayfa1!$G:$L,6,0)</f>
        <v>GERZE</v>
      </c>
      <c r="M1214" s="3">
        <v>1</v>
      </c>
      <c r="N1214" s="3">
        <v>1</v>
      </c>
      <c r="O1214" s="10">
        <v>0</v>
      </c>
      <c r="P1214" s="3">
        <v>0</v>
      </c>
    </row>
    <row r="1215" spans="1:16" x14ac:dyDescent="0.3">
      <c r="A1215" s="6" t="s">
        <v>4107</v>
      </c>
      <c r="B1215" s="6" t="s">
        <v>4108</v>
      </c>
      <c r="C1215" s="2" t="s">
        <v>18</v>
      </c>
      <c r="D1215" s="6">
        <v>41.881495000000001</v>
      </c>
      <c r="E1215" s="6">
        <v>34.906509999999997</v>
      </c>
      <c r="G1215" s="7" t="s">
        <v>1031</v>
      </c>
      <c r="H1215" s="7" t="s">
        <v>1031</v>
      </c>
      <c r="I1215" s="7" t="s">
        <v>1031</v>
      </c>
      <c r="J1215" t="str">
        <f>VLOOKUP(A:A,[1]Sayfa1!$G:$K,5,0)</f>
        <v>MERKEZ MAH. ESAT TÜRKMEN CAD. NO:21 ERFELEK SINOP</v>
      </c>
      <c r="K1215" t="str">
        <f>VLOOKUP(A:A,[1]Sayfa1!$G:$M,7,0)</f>
        <v>SINOP</v>
      </c>
      <c r="L1215" t="str">
        <f>VLOOKUP(A:A,[1]Sayfa1!$G:$L,6,0)</f>
        <v>ERFELEK</v>
      </c>
      <c r="M1215" s="3">
        <v>1</v>
      </c>
      <c r="N1215" s="3">
        <v>1</v>
      </c>
      <c r="O1215" s="10">
        <v>0</v>
      </c>
      <c r="P1215" s="3">
        <v>0</v>
      </c>
    </row>
    <row r="1216" spans="1:16" x14ac:dyDescent="0.3">
      <c r="A1216" s="6" t="s">
        <v>4109</v>
      </c>
      <c r="B1216" s="6" t="s">
        <v>4110</v>
      </c>
      <c r="C1216" s="2" t="s">
        <v>18</v>
      </c>
      <c r="D1216" s="6">
        <v>42.0249582</v>
      </c>
      <c r="E1216" s="6">
        <v>35.160789100000002</v>
      </c>
      <c r="G1216" s="7" t="s">
        <v>1031</v>
      </c>
      <c r="H1216" s="7" t="s">
        <v>1031</v>
      </c>
      <c r="I1216" s="7" t="s">
        <v>1031</v>
      </c>
      <c r="J1216" t="str">
        <f>VLOOKUP(A:A,[1]Sayfa1!$G:$K,5,0)</f>
        <v>ADA MAH ATMACA SOK. NO:4/A MERKEZ SINOP</v>
      </c>
      <c r="K1216" t="str">
        <f>VLOOKUP(A:A,[1]Sayfa1!$G:$M,7,0)</f>
        <v>SINOP</v>
      </c>
      <c r="L1216" t="str">
        <f>VLOOKUP(A:A,[1]Sayfa1!$G:$L,6,0)</f>
        <v>MERKEZ</v>
      </c>
      <c r="M1216" s="3">
        <v>1</v>
      </c>
      <c r="N1216" s="3">
        <v>1</v>
      </c>
      <c r="O1216" s="10">
        <v>0</v>
      </c>
      <c r="P1216" s="3">
        <v>0</v>
      </c>
    </row>
    <row r="1217" spans="1:16" x14ac:dyDescent="0.3">
      <c r="A1217" s="6" t="s">
        <v>4111</v>
      </c>
      <c r="B1217" s="6" t="s">
        <v>4112</v>
      </c>
      <c r="C1217" s="2" t="s">
        <v>18</v>
      </c>
      <c r="D1217" s="6">
        <v>41.605629399999998</v>
      </c>
      <c r="E1217" s="6">
        <v>35.5965147</v>
      </c>
      <c r="G1217" s="7" t="s">
        <v>1031</v>
      </c>
      <c r="H1217" s="7" t="s">
        <v>1031</v>
      </c>
      <c r="I1217" s="7" t="s">
        <v>1031</v>
      </c>
      <c r="J1217" t="str">
        <f>VLOOKUP(A:A,[1]Sayfa1!$G:$K,5,0)</f>
        <v>ÇEŞME MAH. ESKİ ŞUBE SOK. NO:16 ALAÇAM SAMSUN</v>
      </c>
      <c r="K1217" t="str">
        <f>VLOOKUP(A:A,[1]Sayfa1!$G:$M,7,0)</f>
        <v>SAMSUN</v>
      </c>
      <c r="L1217" t="str">
        <f>VLOOKUP(A:A,[1]Sayfa1!$G:$L,6,0)</f>
        <v>ALAÇAM</v>
      </c>
      <c r="M1217" s="3">
        <v>1</v>
      </c>
      <c r="N1217" s="3">
        <v>1</v>
      </c>
      <c r="O1217" s="10">
        <v>0</v>
      </c>
      <c r="P1217" s="3">
        <v>0</v>
      </c>
    </row>
    <row r="1218" spans="1:16" x14ac:dyDescent="0.3">
      <c r="A1218" s="6" t="s">
        <v>4113</v>
      </c>
      <c r="B1218" s="6" t="s">
        <v>4114</v>
      </c>
      <c r="C1218" s="2" t="s">
        <v>18</v>
      </c>
      <c r="D1218" s="6">
        <v>42.018627899999998</v>
      </c>
      <c r="E1218" s="6">
        <v>35.124920299999999</v>
      </c>
      <c r="G1218" s="7" t="s">
        <v>1031</v>
      </c>
      <c r="H1218" s="7" t="s">
        <v>1031</v>
      </c>
      <c r="I1218" s="7" t="s">
        <v>1031</v>
      </c>
      <c r="J1218" t="str">
        <f>VLOOKUP(A:A,[1]Sayfa1!$G:$K,5,0)</f>
        <v>GELİNCİK MH.101 NO`LU SOK.NO:1 A () MERKEZ SINOP</v>
      </c>
      <c r="K1218" t="str">
        <f>VLOOKUP(A:A,[1]Sayfa1!$G:$M,7,0)</f>
        <v>SINOP</v>
      </c>
      <c r="L1218" t="str">
        <f>VLOOKUP(A:A,[1]Sayfa1!$G:$L,6,0)</f>
        <v>MERKEZ</v>
      </c>
      <c r="M1218" s="3">
        <v>1</v>
      </c>
      <c r="N1218" s="3">
        <v>1</v>
      </c>
      <c r="O1218" s="10">
        <v>0</v>
      </c>
      <c r="P1218" s="3">
        <v>0</v>
      </c>
    </row>
    <row r="1219" spans="1:16" x14ac:dyDescent="0.3">
      <c r="A1219" s="6" t="s">
        <v>4115</v>
      </c>
      <c r="B1219" s="6" t="s">
        <v>4116</v>
      </c>
      <c r="C1219" s="2" t="s">
        <v>18</v>
      </c>
      <c r="D1219" s="6">
        <v>42.020646599999999</v>
      </c>
      <c r="E1219" s="6">
        <v>35.1319625</v>
      </c>
      <c r="G1219" s="7" t="s">
        <v>1031</v>
      </c>
      <c r="H1219" s="7" t="s">
        <v>1031</v>
      </c>
      <c r="I1219" s="7" t="s">
        <v>1031</v>
      </c>
      <c r="J1219" t="str">
        <f>VLOOKUP(A:A,[1]Sayfa1!$G:$K,5,0)</f>
        <v>GELINCIK MH. ACAR SK. 1 () MERKEZ SINOP</v>
      </c>
      <c r="K1219" t="str">
        <f>VLOOKUP(A:A,[1]Sayfa1!$G:$M,7,0)</f>
        <v>SINOP</v>
      </c>
      <c r="L1219" t="str">
        <f>VLOOKUP(A:A,[1]Sayfa1!$G:$L,6,0)</f>
        <v>MERKEZ</v>
      </c>
      <c r="M1219" s="3">
        <v>1</v>
      </c>
      <c r="N1219" s="3">
        <v>1</v>
      </c>
      <c r="O1219" s="10">
        <v>0</v>
      </c>
      <c r="P1219" s="3">
        <v>0</v>
      </c>
    </row>
    <row r="1220" spans="1:16" x14ac:dyDescent="0.3">
      <c r="A1220" s="6" t="s">
        <v>4117</v>
      </c>
      <c r="B1220" s="6" t="s">
        <v>4118</v>
      </c>
      <c r="C1220" s="2" t="s">
        <v>18</v>
      </c>
      <c r="D1220" s="6">
        <v>42.027071599999999</v>
      </c>
      <c r="E1220" s="6">
        <v>35.152059899999998</v>
      </c>
      <c r="G1220" s="7" t="s">
        <v>1031</v>
      </c>
      <c r="H1220" s="7" t="s">
        <v>1031</v>
      </c>
      <c r="I1220" s="7" t="s">
        <v>1031</v>
      </c>
      <c r="J1220" t="str">
        <f>VLOOKUP(A:A,[1]Sayfa1!$G:$K,5,0)</f>
        <v>KEFEVİ MAH HÜKÜMET SOK. NO:7 MERKEZ SINOP</v>
      </c>
      <c r="K1220" t="str">
        <f>VLOOKUP(A:A,[1]Sayfa1!$G:$M,7,0)</f>
        <v>SINOP</v>
      </c>
      <c r="L1220" t="str">
        <f>VLOOKUP(A:A,[1]Sayfa1!$G:$L,6,0)</f>
        <v>MERKEZ</v>
      </c>
      <c r="M1220" s="3">
        <v>1</v>
      </c>
      <c r="N1220" s="3">
        <v>1</v>
      </c>
      <c r="O1220" s="10">
        <v>0</v>
      </c>
      <c r="P1220" s="3">
        <v>0</v>
      </c>
    </row>
    <row r="1221" spans="1:16" x14ac:dyDescent="0.3">
      <c r="A1221" s="6" t="s">
        <v>4119</v>
      </c>
      <c r="B1221" s="6" t="s">
        <v>4120</v>
      </c>
      <c r="C1221" s="2" t="s">
        <v>18</v>
      </c>
      <c r="D1221" s="6">
        <v>41.610137299999998</v>
      </c>
      <c r="E1221" s="6">
        <v>35.599646700000001</v>
      </c>
      <c r="G1221" s="7" t="s">
        <v>1031</v>
      </c>
      <c r="H1221" s="7" t="s">
        <v>1031</v>
      </c>
      <c r="I1221" s="7" t="s">
        <v>1031</v>
      </c>
      <c r="J1221" t="str">
        <f>VLOOKUP(A:A,[1]Sayfa1!$G:$K,5,0)</f>
        <v>ALPARSLAN MAH LİSE CAD. NO:48 ALAÇAM SAMSUN</v>
      </c>
      <c r="K1221" t="str">
        <f>VLOOKUP(A:A,[1]Sayfa1!$G:$M,7,0)</f>
        <v>SAMSUN</v>
      </c>
      <c r="L1221" t="str">
        <f>VLOOKUP(A:A,[1]Sayfa1!$G:$L,6,0)</f>
        <v>ALAÇAM</v>
      </c>
      <c r="M1221" s="3">
        <v>1</v>
      </c>
      <c r="N1221" s="3">
        <v>1</v>
      </c>
      <c r="O1221" s="10">
        <v>0</v>
      </c>
      <c r="P1221" s="3">
        <v>0</v>
      </c>
    </row>
    <row r="1222" spans="1:16" x14ac:dyDescent="0.3">
      <c r="A1222" s="6" t="s">
        <v>4121</v>
      </c>
      <c r="B1222" s="6" t="s">
        <v>4122</v>
      </c>
      <c r="C1222" s="2" t="s">
        <v>18</v>
      </c>
      <c r="D1222" s="6">
        <v>41.803520800000001</v>
      </c>
      <c r="E1222" s="6">
        <v>35.191329799999998</v>
      </c>
      <c r="G1222" s="7" t="s">
        <v>1031</v>
      </c>
      <c r="H1222" s="7" t="s">
        <v>1031</v>
      </c>
      <c r="I1222" s="7" t="s">
        <v>1031</v>
      </c>
      <c r="J1222" t="str">
        <f>VLOOKUP(A:A,[1]Sayfa1!$G:$K,5,0)</f>
        <v>HAMİDİYE MAH. OKULLAR CAD. NO:2 GERZE SINOP</v>
      </c>
      <c r="K1222" t="str">
        <f>VLOOKUP(A:A,[1]Sayfa1!$G:$M,7,0)</f>
        <v>SINOP</v>
      </c>
      <c r="L1222" t="str">
        <f>VLOOKUP(A:A,[1]Sayfa1!$G:$L,6,0)</f>
        <v>GERZE</v>
      </c>
      <c r="M1222" s="3">
        <v>1</v>
      </c>
      <c r="N1222" s="3">
        <v>1</v>
      </c>
      <c r="O1222" s="10">
        <v>0</v>
      </c>
      <c r="P1222" s="3">
        <v>0</v>
      </c>
    </row>
    <row r="1223" spans="1:16" x14ac:dyDescent="0.3">
      <c r="A1223" s="6" t="s">
        <v>4123</v>
      </c>
      <c r="B1223" s="6" t="s">
        <v>4124</v>
      </c>
      <c r="C1223" s="2" t="s">
        <v>18</v>
      </c>
      <c r="D1223" s="6">
        <v>42.022432600000002</v>
      </c>
      <c r="E1223" s="6">
        <v>35.159891000000002</v>
      </c>
      <c r="G1223" s="7" t="s">
        <v>1031</v>
      </c>
      <c r="H1223" s="7" t="s">
        <v>1031</v>
      </c>
      <c r="I1223" s="7" t="s">
        <v>1031</v>
      </c>
      <c r="J1223" t="str">
        <f>VLOOKUP(A:A,[1]Sayfa1!$G:$K,5,0)</f>
        <v>ADA MAH ZEYTİNLİK YOLU NO:23 MERKEZ SINOP</v>
      </c>
      <c r="K1223" t="str">
        <f>VLOOKUP(A:A,[1]Sayfa1!$G:$M,7,0)</f>
        <v>SINOP</v>
      </c>
      <c r="L1223" t="str">
        <f>VLOOKUP(A:A,[1]Sayfa1!$G:$L,6,0)</f>
        <v>MERKEZ</v>
      </c>
      <c r="M1223" s="3">
        <v>1</v>
      </c>
      <c r="N1223" s="3">
        <v>1</v>
      </c>
      <c r="O1223" s="10">
        <v>0</v>
      </c>
      <c r="P1223" s="3">
        <v>0</v>
      </c>
    </row>
    <row r="1224" spans="1:16" x14ac:dyDescent="0.3">
      <c r="A1224" s="6" t="s">
        <v>4125</v>
      </c>
      <c r="B1224" s="6" t="s">
        <v>4126</v>
      </c>
      <c r="C1224" s="2" t="s">
        <v>18</v>
      </c>
      <c r="D1224" s="6">
        <v>42.020895699999997</v>
      </c>
      <c r="E1224" s="6">
        <v>35.167396799999999</v>
      </c>
      <c r="G1224" s="7" t="s">
        <v>1031</v>
      </c>
      <c r="H1224" s="7" t="s">
        <v>1031</v>
      </c>
      <c r="I1224" s="7" t="s">
        <v>1031</v>
      </c>
      <c r="J1224" t="str">
        <f>VLOOKUP(A:A,[1]Sayfa1!$G:$K,5,0)</f>
        <v>ZİYTİNLİK MH. PAZARYOLU SK. NO:12/A () MERKEZ SINOP</v>
      </c>
      <c r="K1224" t="str">
        <f>VLOOKUP(A:A,[1]Sayfa1!$G:$M,7,0)</f>
        <v>SINOP</v>
      </c>
      <c r="L1224" t="str">
        <f>VLOOKUP(A:A,[1]Sayfa1!$G:$L,6,0)</f>
        <v>MERKEZ</v>
      </c>
      <c r="M1224" s="3">
        <v>1</v>
      </c>
      <c r="N1224" s="3">
        <v>1</v>
      </c>
      <c r="O1224" s="10">
        <v>0</v>
      </c>
      <c r="P1224" s="3">
        <v>0</v>
      </c>
    </row>
    <row r="1225" spans="1:16" x14ac:dyDescent="0.3">
      <c r="A1225" s="6" t="s">
        <v>4127</v>
      </c>
      <c r="B1225" s="6" t="s">
        <v>4128</v>
      </c>
      <c r="C1225" s="2" t="s">
        <v>18</v>
      </c>
      <c r="D1225" s="6">
        <v>41.804809800000001</v>
      </c>
      <c r="E1225" s="6">
        <v>35.196590999999998</v>
      </c>
      <c r="G1225" s="7" t="s">
        <v>1031</v>
      </c>
      <c r="H1225" s="7" t="s">
        <v>1031</v>
      </c>
      <c r="I1225" s="7" t="s">
        <v>1031</v>
      </c>
      <c r="J1225" t="str">
        <f>VLOOKUP(A:A,[1]Sayfa1!$G:$K,5,0)</f>
        <v>HAMİDİYE MAH. HAL CAD. NO:82 /14 ADRES KODU:3685614681 GERZE SINOP</v>
      </c>
      <c r="K1225" t="str">
        <f>VLOOKUP(A:A,[1]Sayfa1!$G:$M,7,0)</f>
        <v>SINOP</v>
      </c>
      <c r="L1225" t="str">
        <f>VLOOKUP(A:A,[1]Sayfa1!$G:$L,6,0)</f>
        <v>GERZE</v>
      </c>
      <c r="M1225" s="3">
        <v>1</v>
      </c>
      <c r="N1225" s="3">
        <v>1</v>
      </c>
      <c r="O1225" s="10">
        <v>0</v>
      </c>
      <c r="P1225" s="3">
        <v>0</v>
      </c>
    </row>
    <row r="1226" spans="1:16" x14ac:dyDescent="0.3">
      <c r="A1226" s="6" t="s">
        <v>4129</v>
      </c>
      <c r="B1226" s="6" t="s">
        <v>4130</v>
      </c>
      <c r="C1226" s="2" t="s">
        <v>18</v>
      </c>
      <c r="D1226" s="6">
        <v>42.0279156</v>
      </c>
      <c r="E1226" s="6">
        <v>35.148331900000002</v>
      </c>
      <c r="G1226" s="7" t="s">
        <v>1031</v>
      </c>
      <c r="H1226" s="7" t="s">
        <v>1031</v>
      </c>
      <c r="I1226" s="7" t="s">
        <v>1031</v>
      </c>
      <c r="J1226" t="str">
        <f>VLOOKUP(A:A,[1]Sayfa1!$G:$K,5,0)</f>
        <v>MEYDANKAPI MAH NALBANT SK. NO:32/1 MERKEZ SINOP</v>
      </c>
      <c r="K1226" t="str">
        <f>VLOOKUP(A:A,[1]Sayfa1!$G:$M,7,0)</f>
        <v>SINOP</v>
      </c>
      <c r="L1226" t="str">
        <f>VLOOKUP(A:A,[1]Sayfa1!$G:$L,6,0)</f>
        <v>MERKEZ</v>
      </c>
      <c r="M1226" s="3">
        <v>1</v>
      </c>
      <c r="N1226" s="3">
        <v>1</v>
      </c>
      <c r="O1226" s="10">
        <v>0</v>
      </c>
      <c r="P1226" s="3">
        <v>0</v>
      </c>
    </row>
    <row r="1227" spans="1:16" x14ac:dyDescent="0.3">
      <c r="A1227" s="6" t="s">
        <v>4131</v>
      </c>
      <c r="B1227" s="6" t="s">
        <v>4132</v>
      </c>
      <c r="C1227" s="2" t="s">
        <v>18</v>
      </c>
      <c r="D1227" s="6">
        <v>41.617359700000002</v>
      </c>
      <c r="E1227" s="6">
        <v>35.606327100000001</v>
      </c>
      <c r="G1227" s="7" t="s">
        <v>1031</v>
      </c>
      <c r="H1227" s="7" t="s">
        <v>1031</v>
      </c>
      <c r="I1227" s="7" t="s">
        <v>1031</v>
      </c>
      <c r="J1227" t="str">
        <f>VLOOKUP(A:A,[1]Sayfa1!$G:$K,5,0)</f>
        <v>ALPARSLAN MAH. BAFRA CAD. NO:188 A-B ADRES KODU: 5051471935- 5027063980 ALAÇAM SAMSUN</v>
      </c>
      <c r="K1227" t="str">
        <f>VLOOKUP(A:A,[1]Sayfa1!$G:$M,7,0)</f>
        <v>SAMSUN</v>
      </c>
      <c r="L1227" t="str">
        <f>VLOOKUP(A:A,[1]Sayfa1!$G:$L,6,0)</f>
        <v>ALAÇAM</v>
      </c>
      <c r="M1227" s="3">
        <v>1</v>
      </c>
      <c r="N1227" s="3">
        <v>1</v>
      </c>
      <c r="O1227" s="10">
        <v>0</v>
      </c>
      <c r="P1227" s="3">
        <v>0</v>
      </c>
    </row>
    <row r="1228" spans="1:16" x14ac:dyDescent="0.3">
      <c r="A1228" s="6" t="s">
        <v>4133</v>
      </c>
      <c r="B1228" s="6" t="s">
        <v>4134</v>
      </c>
      <c r="C1228" s="2" t="s">
        <v>18</v>
      </c>
      <c r="D1228" s="6">
        <v>41.879940599999998</v>
      </c>
      <c r="E1228" s="6">
        <v>34.909034200000001</v>
      </c>
      <c r="G1228" s="7" t="s">
        <v>1031</v>
      </c>
      <c r="H1228" s="7" t="s">
        <v>1031</v>
      </c>
      <c r="I1228" s="7" t="s">
        <v>1031</v>
      </c>
      <c r="J1228" t="str">
        <f>VLOOKUP(A:A,[1]Sayfa1!$G:$K,5,0)</f>
        <v>MERKEZ MAH. ATATÜRK CAD. NO:15/1 ERFELEK SINOP</v>
      </c>
      <c r="K1228" t="str">
        <f>VLOOKUP(A:A,[1]Sayfa1!$G:$M,7,0)</f>
        <v>SINOP</v>
      </c>
      <c r="L1228" t="str">
        <f>VLOOKUP(A:A,[1]Sayfa1!$G:$L,6,0)</f>
        <v>ERFELEK</v>
      </c>
      <c r="M1228" s="3">
        <v>1</v>
      </c>
      <c r="N1228" s="3">
        <v>1</v>
      </c>
      <c r="O1228" s="10">
        <v>0</v>
      </c>
      <c r="P1228" s="3">
        <v>0</v>
      </c>
    </row>
    <row r="1229" spans="1:16" x14ac:dyDescent="0.3">
      <c r="A1229" s="6" t="s">
        <v>4135</v>
      </c>
      <c r="B1229" s="6" t="s">
        <v>4136</v>
      </c>
      <c r="C1229" s="2" t="s">
        <v>18</v>
      </c>
      <c r="D1229" s="6">
        <v>41.809548599999999</v>
      </c>
      <c r="E1229" s="6">
        <v>35.189985399999998</v>
      </c>
      <c r="G1229" s="7" t="s">
        <v>1031</v>
      </c>
      <c r="H1229" s="7" t="s">
        <v>1031</v>
      </c>
      <c r="I1229" s="7" t="s">
        <v>1031</v>
      </c>
      <c r="J1229" t="str">
        <f>VLOOKUP(A:A,[1]Sayfa1!$G:$K,5,0)</f>
        <v>19 MAYIS MAH. CEYLAN SOK. NO:2 A GERZE SINOP</v>
      </c>
      <c r="K1229" t="str">
        <f>VLOOKUP(A:A,[1]Sayfa1!$G:$M,7,0)</f>
        <v>SINOP</v>
      </c>
      <c r="L1229" t="str">
        <f>VLOOKUP(A:A,[1]Sayfa1!$G:$L,6,0)</f>
        <v>GERZE</v>
      </c>
      <c r="M1229" s="3">
        <v>1</v>
      </c>
      <c r="N1229" s="3">
        <v>1</v>
      </c>
      <c r="O1229" s="10">
        <v>0</v>
      </c>
      <c r="P1229" s="3">
        <v>0</v>
      </c>
    </row>
    <row r="1230" spans="1:16" x14ac:dyDescent="0.3">
      <c r="A1230" s="6" t="s">
        <v>4137</v>
      </c>
      <c r="B1230" s="6" t="s">
        <v>4138</v>
      </c>
      <c r="C1230" s="2" t="s">
        <v>18</v>
      </c>
      <c r="D1230" s="6">
        <v>41.803256599999997</v>
      </c>
      <c r="E1230" s="6">
        <v>35.189845300000002</v>
      </c>
      <c r="G1230" s="7" t="s">
        <v>1031</v>
      </c>
      <c r="H1230" s="7" t="s">
        <v>1031</v>
      </c>
      <c r="I1230" s="7" t="s">
        <v>1031</v>
      </c>
      <c r="J1230" t="str">
        <f>VLOOKUP(A:A,[1]Sayfa1!$G:$K,5,0)</f>
        <v>CUMHURİYET MAH. SAMSUN CAD. NO: 16 A GERZE SINOP</v>
      </c>
      <c r="K1230" t="str">
        <f>VLOOKUP(A:A,[1]Sayfa1!$G:$M,7,0)</f>
        <v>SINOP</v>
      </c>
      <c r="L1230" t="str">
        <f>VLOOKUP(A:A,[1]Sayfa1!$G:$L,6,0)</f>
        <v>GERZE</v>
      </c>
      <c r="M1230" s="3">
        <v>1</v>
      </c>
      <c r="N1230" s="3">
        <v>1</v>
      </c>
      <c r="O1230" s="10">
        <v>0</v>
      </c>
      <c r="P1230" s="3">
        <v>0</v>
      </c>
    </row>
    <row r="1231" spans="1:16" x14ac:dyDescent="0.3">
      <c r="A1231" s="6" t="s">
        <v>4139</v>
      </c>
      <c r="B1231" s="6" t="s">
        <v>4140</v>
      </c>
      <c r="C1231" s="2" t="s">
        <v>18</v>
      </c>
      <c r="D1231" s="6">
        <v>42.0206631</v>
      </c>
      <c r="E1231" s="6">
        <v>35.1599553</v>
      </c>
      <c r="G1231" s="7" t="s">
        <v>1031</v>
      </c>
      <c r="H1231" s="7" t="s">
        <v>1031</v>
      </c>
      <c r="I1231" s="7" t="s">
        <v>1031</v>
      </c>
      <c r="J1231" t="str">
        <f>VLOOKUP(A:A,[1]Sayfa1!$G:$K,5,0)</f>
        <v>ADA MAH ENVER BAHADIR CAD. NO:25/1B MERKEZ SINOP</v>
      </c>
      <c r="K1231" t="str">
        <f>VLOOKUP(A:A,[1]Sayfa1!$G:$M,7,0)</f>
        <v>SINOP</v>
      </c>
      <c r="L1231" t="str">
        <f>VLOOKUP(A:A,[1]Sayfa1!$G:$L,6,0)</f>
        <v>MERKEZ</v>
      </c>
      <c r="M1231" s="3">
        <v>1</v>
      </c>
      <c r="N1231" s="3">
        <v>1</v>
      </c>
      <c r="O1231" s="10">
        <v>0</v>
      </c>
      <c r="P1231" s="3">
        <v>0</v>
      </c>
    </row>
    <row r="1232" spans="1:16" x14ac:dyDescent="0.3">
      <c r="A1232" s="6" t="s">
        <v>4141</v>
      </c>
      <c r="B1232" s="6" t="s">
        <v>4142</v>
      </c>
      <c r="C1232" s="2" t="s">
        <v>18</v>
      </c>
      <c r="D1232" s="6">
        <v>42.0026966</v>
      </c>
      <c r="E1232" s="6">
        <v>35.078293700000003</v>
      </c>
      <c r="G1232" s="7" t="s">
        <v>1031</v>
      </c>
      <c r="H1232" s="7" t="s">
        <v>1031</v>
      </c>
      <c r="I1232" s="7" t="s">
        <v>1031</v>
      </c>
      <c r="J1232" t="str">
        <f>VLOOKUP(A:A,[1]Sayfa1!$G:$K,5,0)</f>
        <v>KORUCUK MAH. TIRKIŞLAR KÜME EVLERİ B. DEMİR BLOK NO:9/1D MERKEZ SINOP</v>
      </c>
      <c r="K1232" t="str">
        <f>VLOOKUP(A:A,[1]Sayfa1!$G:$M,7,0)</f>
        <v>SINOP</v>
      </c>
      <c r="L1232" t="str">
        <f>VLOOKUP(A:A,[1]Sayfa1!$G:$L,6,0)</f>
        <v>MERKEZ</v>
      </c>
      <c r="M1232" s="3">
        <v>1</v>
      </c>
      <c r="N1232" s="3">
        <v>1</v>
      </c>
      <c r="O1232" s="10">
        <v>0</v>
      </c>
      <c r="P1232" s="3">
        <v>0</v>
      </c>
    </row>
    <row r="1233" spans="1:16" x14ac:dyDescent="0.3">
      <c r="A1233" s="6" t="s">
        <v>4143</v>
      </c>
      <c r="B1233" s="6" t="s">
        <v>4144</v>
      </c>
      <c r="C1233" s="2" t="s">
        <v>18</v>
      </c>
      <c r="D1233" s="6">
        <v>42.041094299999997</v>
      </c>
      <c r="E1233" s="6">
        <v>35.042683099999998</v>
      </c>
      <c r="G1233" s="7" t="s">
        <v>1031</v>
      </c>
      <c r="H1233" s="7" t="s">
        <v>1031</v>
      </c>
      <c r="I1233" s="7" t="s">
        <v>1031</v>
      </c>
      <c r="J1233" t="str">
        <f>VLOOKUP(A:A,[1]Sayfa1!$G:$K,5,0)</f>
        <v>AKLİMAN MAH (ABALI KÖYÜ) AKLİMAN KÜME EVLERİ NO:34/1A MERKEZ SINOP</v>
      </c>
      <c r="K1233" t="str">
        <f>VLOOKUP(A:A,[1]Sayfa1!$G:$M,7,0)</f>
        <v>SINOP</v>
      </c>
      <c r="L1233" t="str">
        <f>VLOOKUP(A:A,[1]Sayfa1!$G:$L,6,0)</f>
        <v>MERKEZ</v>
      </c>
      <c r="M1233" s="3">
        <v>1</v>
      </c>
      <c r="N1233" s="3">
        <v>1</v>
      </c>
      <c r="O1233" s="10">
        <v>0</v>
      </c>
      <c r="P1233" s="3">
        <v>0</v>
      </c>
    </row>
    <row r="1234" spans="1:16" x14ac:dyDescent="0.3">
      <c r="A1234" s="6" t="s">
        <v>4145</v>
      </c>
      <c r="B1234" s="6" t="s">
        <v>4146</v>
      </c>
      <c r="C1234" s="2" t="s">
        <v>18</v>
      </c>
      <c r="D1234" s="6">
        <v>41.6178466</v>
      </c>
      <c r="E1234" s="6">
        <v>35.607814300000001</v>
      </c>
      <c r="G1234" s="7" t="s">
        <v>1031</v>
      </c>
      <c r="H1234" s="7" t="s">
        <v>1031</v>
      </c>
      <c r="I1234" s="7" t="s">
        <v>1031</v>
      </c>
      <c r="J1234" t="str">
        <f>VLOOKUP(A:A,[1]Sayfa1!$G:$K,5,0)</f>
        <v>FATİH MAH GEYİKKOŞAN CAD. NO:20 ALAÇAM SAMSUN</v>
      </c>
      <c r="K1234" t="str">
        <f>VLOOKUP(A:A,[1]Sayfa1!$G:$M,7,0)</f>
        <v>SAMSUN</v>
      </c>
      <c r="L1234" t="str">
        <f>VLOOKUP(A:A,[1]Sayfa1!$G:$L,6,0)</f>
        <v>ALAÇAM</v>
      </c>
      <c r="M1234" s="3">
        <v>1</v>
      </c>
      <c r="N1234" s="3">
        <v>1</v>
      </c>
      <c r="O1234" s="10">
        <v>0</v>
      </c>
      <c r="P1234" s="3">
        <v>0</v>
      </c>
    </row>
    <row r="1235" spans="1:16" x14ac:dyDescent="0.3">
      <c r="A1235" s="6" t="s">
        <v>4147</v>
      </c>
      <c r="B1235" s="6" t="s">
        <v>4148</v>
      </c>
      <c r="C1235" s="2" t="s">
        <v>18</v>
      </c>
      <c r="D1235" s="6">
        <v>41.807788000000002</v>
      </c>
      <c r="E1235" s="6">
        <v>35.186050000000002</v>
      </c>
      <c r="G1235" s="7" t="s">
        <v>1031</v>
      </c>
      <c r="H1235" s="7" t="s">
        <v>1031</v>
      </c>
      <c r="I1235" s="7" t="s">
        <v>1031</v>
      </c>
      <c r="J1235" t="str">
        <f>VLOOKUP(A:A,[1]Sayfa1!$G:$K,5,0)</f>
        <v>19 MAYIS MAH MUTLU SOK. NO:8A GERZE SINOP</v>
      </c>
      <c r="K1235" t="str">
        <f>VLOOKUP(A:A,[1]Sayfa1!$G:$M,7,0)</f>
        <v>SINOP</v>
      </c>
      <c r="L1235" t="str">
        <f>VLOOKUP(A:A,[1]Sayfa1!$G:$L,6,0)</f>
        <v>GERZE</v>
      </c>
      <c r="M1235" s="3">
        <v>1</v>
      </c>
      <c r="N1235" s="3">
        <v>1</v>
      </c>
      <c r="O1235" s="10">
        <v>0</v>
      </c>
      <c r="P1235" s="3">
        <v>0</v>
      </c>
    </row>
    <row r="1236" spans="1:16" x14ac:dyDescent="0.3">
      <c r="A1236" s="6" t="s">
        <v>4149</v>
      </c>
      <c r="B1236" s="6" t="s">
        <v>4150</v>
      </c>
      <c r="C1236" s="2" t="s">
        <v>18</v>
      </c>
      <c r="D1236" s="6">
        <v>41.880256000000003</v>
      </c>
      <c r="E1236" s="6">
        <v>34.903671000000003</v>
      </c>
      <c r="G1236" s="7" t="s">
        <v>1031</v>
      </c>
      <c r="H1236" s="7" t="s">
        <v>1031</v>
      </c>
      <c r="I1236" s="7" t="s">
        <v>1031</v>
      </c>
      <c r="J1236" t="str">
        <f>VLOOKUP(A:A,[1]Sayfa1!$G:$K,5,0)</f>
        <v>MERKEZ MAH YURT SOK. NO:1A ERFELEK SINOP</v>
      </c>
      <c r="K1236" t="str">
        <f>VLOOKUP(A:A,[1]Sayfa1!$G:$M,7,0)</f>
        <v>SINOP</v>
      </c>
      <c r="L1236" t="str">
        <f>VLOOKUP(A:A,[1]Sayfa1!$G:$L,6,0)</f>
        <v>ERFELEK</v>
      </c>
      <c r="M1236" s="3">
        <v>1</v>
      </c>
      <c r="N1236" s="3">
        <v>1</v>
      </c>
      <c r="O1236" s="10">
        <v>0</v>
      </c>
      <c r="P1236" s="3">
        <v>0</v>
      </c>
    </row>
    <row r="1237" spans="1:16" x14ac:dyDescent="0.3">
      <c r="A1237" s="6" t="s">
        <v>4151</v>
      </c>
      <c r="B1237" s="6" t="s">
        <v>4152</v>
      </c>
      <c r="C1237" s="2" t="s">
        <v>18</v>
      </c>
      <c r="D1237" s="6">
        <v>42.027094300000002</v>
      </c>
      <c r="E1237" s="6">
        <v>35.159989699999997</v>
      </c>
      <c r="G1237" s="7" t="s">
        <v>1031</v>
      </c>
      <c r="H1237" s="7" t="s">
        <v>1031</v>
      </c>
      <c r="I1237" s="7" t="s">
        <v>1031</v>
      </c>
      <c r="J1237" t="str">
        <f>VLOOKUP(A:A,[1]Sayfa1!$G:$K,5,0)</f>
        <v>ADA MAH KIZILTOPRAK SOK. NO:24/A MERKEZ SINOP</v>
      </c>
      <c r="K1237" t="str">
        <f>VLOOKUP(A:A,[1]Sayfa1!$G:$M,7,0)</f>
        <v>SINOP</v>
      </c>
      <c r="L1237" t="str">
        <f>VLOOKUP(A:A,[1]Sayfa1!$G:$L,6,0)</f>
        <v>MERKEZ</v>
      </c>
      <c r="M1237" s="3">
        <v>1</v>
      </c>
      <c r="N1237" s="3">
        <v>1</v>
      </c>
      <c r="O1237" s="10">
        <v>0</v>
      </c>
      <c r="P1237" s="3">
        <v>0</v>
      </c>
    </row>
    <row r="1238" spans="1:16" x14ac:dyDescent="0.3">
      <c r="A1238" s="6" t="s">
        <v>4153</v>
      </c>
      <c r="B1238" s="6" t="s">
        <v>4154</v>
      </c>
      <c r="C1238" s="2" t="s">
        <v>18</v>
      </c>
      <c r="D1238" s="6">
        <v>41.633544200000003</v>
      </c>
      <c r="E1238" s="6">
        <v>35.525911800000003</v>
      </c>
      <c r="G1238" s="7" t="s">
        <v>1031</v>
      </c>
      <c r="H1238" s="7" t="s">
        <v>1031</v>
      </c>
      <c r="I1238" s="7" t="s">
        <v>1031</v>
      </c>
      <c r="J1238" t="str">
        <f>VLOOKUP(A:A,[1]Sayfa1!$G:$K,5,0)</f>
        <v>MERKEZ MAH CUMHURİYET SK. NO:65 YAKAKENT SAMSUN</v>
      </c>
      <c r="K1238" t="str">
        <f>VLOOKUP(A:A,[1]Sayfa1!$G:$M,7,0)</f>
        <v>SAMSUN</v>
      </c>
      <c r="L1238" t="str">
        <f>VLOOKUP(A:A,[1]Sayfa1!$G:$L,6,0)</f>
        <v>YAKAKENT</v>
      </c>
      <c r="M1238" s="3">
        <v>1</v>
      </c>
      <c r="N1238" s="3">
        <v>1</v>
      </c>
      <c r="O1238" s="10">
        <v>0</v>
      </c>
      <c r="P1238" s="3">
        <v>0</v>
      </c>
    </row>
    <row r="1239" spans="1:16" x14ac:dyDescent="0.3">
      <c r="A1239" s="6" t="s">
        <v>4155</v>
      </c>
      <c r="B1239" s="6" t="s">
        <v>4156</v>
      </c>
      <c r="C1239" s="2" t="s">
        <v>18</v>
      </c>
      <c r="D1239" s="6">
        <v>41.652186399999998</v>
      </c>
      <c r="E1239" s="6">
        <v>35.2649537</v>
      </c>
      <c r="G1239" s="7" t="s">
        <v>1031</v>
      </c>
      <c r="H1239" s="7" t="s">
        <v>1031</v>
      </c>
      <c r="I1239" s="7" t="s">
        <v>1031</v>
      </c>
      <c r="J1239" t="str">
        <f>VLOOKUP(A:A,[1]Sayfa1!$G:$K,5,0)</f>
        <v>KIRÇAL MAH ŞEHİT GAFFAR OKKAN CAD. NO:39 DIKMEN SINOP</v>
      </c>
      <c r="K1239" t="str">
        <f>VLOOKUP(A:A,[1]Sayfa1!$G:$M,7,0)</f>
        <v>SINOP</v>
      </c>
      <c r="L1239" t="str">
        <f>VLOOKUP(A:A,[1]Sayfa1!$G:$L,6,0)</f>
        <v>DIKMEN</v>
      </c>
      <c r="M1239" s="3">
        <v>1</v>
      </c>
      <c r="N1239" s="3">
        <v>1</v>
      </c>
      <c r="O1239" s="10">
        <v>0</v>
      </c>
      <c r="P1239" s="3">
        <v>0</v>
      </c>
    </row>
    <row r="1240" spans="1:16" x14ac:dyDescent="0.3">
      <c r="A1240" s="6" t="s">
        <v>4157</v>
      </c>
      <c r="B1240" s="6" t="s">
        <v>4158</v>
      </c>
      <c r="C1240" s="2" t="s">
        <v>18</v>
      </c>
      <c r="D1240" s="6">
        <v>41.807092500000003</v>
      </c>
      <c r="E1240" s="6">
        <v>35.193188599999999</v>
      </c>
      <c r="G1240" s="7" t="s">
        <v>1031</v>
      </c>
      <c r="H1240" s="7" t="s">
        <v>1031</v>
      </c>
      <c r="I1240" s="7" t="s">
        <v>1031</v>
      </c>
      <c r="J1240" t="str">
        <f>VLOOKUP(A:A,[1]Sayfa1!$G:$K,5,0)</f>
        <v>HAMİDİYE MAH MEHMETÇİK CAD. NO:4/A–B GERZE SINOP</v>
      </c>
      <c r="K1240" t="str">
        <f>VLOOKUP(A:A,[1]Sayfa1!$G:$M,7,0)</f>
        <v>SINOP</v>
      </c>
      <c r="L1240" t="str">
        <f>VLOOKUP(A:A,[1]Sayfa1!$G:$L,6,0)</f>
        <v>GERZE</v>
      </c>
      <c r="M1240" s="3">
        <v>1</v>
      </c>
      <c r="N1240" s="3">
        <v>1</v>
      </c>
      <c r="O1240" s="10">
        <v>0</v>
      </c>
      <c r="P1240" s="3">
        <v>0</v>
      </c>
    </row>
    <row r="1241" spans="1:16" x14ac:dyDescent="0.3">
      <c r="A1241" s="6" t="s">
        <v>4159</v>
      </c>
      <c r="B1241" s="6" t="s">
        <v>4160</v>
      </c>
      <c r="C1241" s="2" t="s">
        <v>18</v>
      </c>
      <c r="D1241" s="6">
        <v>41.259687700000001</v>
      </c>
      <c r="E1241" s="6">
        <v>36.355777000000003</v>
      </c>
      <c r="G1241" s="7" t="s">
        <v>1031</v>
      </c>
      <c r="H1241" s="7" t="s">
        <v>1031</v>
      </c>
      <c r="I1241" s="7" t="s">
        <v>1031</v>
      </c>
      <c r="J1241" t="str">
        <f>VLOOKUP(A:A,[1]Sayfa1!$G:$K,5,0)</f>
        <v>GAZİOSMANPASA MH. ŞEHİT MESUT 1.CD. NO:209 CANİK</v>
      </c>
      <c r="K1241" t="str">
        <f>VLOOKUP(A:A,[1]Sayfa1!$G:$M,7,0)</f>
        <v>SAMSUN</v>
      </c>
      <c r="L1241" t="str">
        <f>VLOOKUP(A:A,[1]Sayfa1!$G:$L,6,0)</f>
        <v>CANIK</v>
      </c>
      <c r="M1241" s="3">
        <v>1</v>
      </c>
      <c r="N1241" s="3">
        <v>1</v>
      </c>
      <c r="O1241" s="10">
        <v>0</v>
      </c>
      <c r="P1241" s="3">
        <v>0</v>
      </c>
    </row>
    <row r="1242" spans="1:16" x14ac:dyDescent="0.3">
      <c r="A1242" s="6" t="s">
        <v>4161</v>
      </c>
      <c r="B1242" s="6" t="s">
        <v>4162</v>
      </c>
      <c r="C1242" s="2" t="s">
        <v>18</v>
      </c>
      <c r="D1242" s="6">
        <v>41.268951399999999</v>
      </c>
      <c r="E1242" s="6">
        <v>36.366604899999999</v>
      </c>
      <c r="G1242" s="7" t="s">
        <v>1031</v>
      </c>
      <c r="H1242" s="7" t="s">
        <v>1031</v>
      </c>
      <c r="I1242" s="7" t="s">
        <v>1031</v>
      </c>
      <c r="J1242" t="str">
        <f>VLOOKUP(A:A,[1]Sayfa1!$G:$K,5,0)</f>
        <v>BELEDİYE EVLERİ MH. C.TOPEL CD. NO:47/B CANIK SAMSUN</v>
      </c>
      <c r="K1242" t="str">
        <f>VLOOKUP(A:A,[1]Sayfa1!$G:$M,7,0)</f>
        <v>SAMSUN</v>
      </c>
      <c r="L1242" t="str">
        <f>VLOOKUP(A:A,[1]Sayfa1!$G:$L,6,0)</f>
        <v>CANIK</v>
      </c>
      <c r="M1242" s="3">
        <v>1</v>
      </c>
      <c r="N1242" s="3">
        <v>1</v>
      </c>
      <c r="O1242" s="10">
        <v>0</v>
      </c>
      <c r="P1242" s="3">
        <v>0</v>
      </c>
    </row>
    <row r="1243" spans="1:16" x14ac:dyDescent="0.3">
      <c r="A1243" s="6" t="s">
        <v>4163</v>
      </c>
      <c r="B1243" s="6" t="s">
        <v>4164</v>
      </c>
      <c r="C1243" s="2" t="s">
        <v>18</v>
      </c>
      <c r="D1243" s="6">
        <v>41.212395700000002</v>
      </c>
      <c r="E1243" s="6">
        <v>36.458344799999999</v>
      </c>
      <c r="G1243" s="7" t="s">
        <v>1031</v>
      </c>
      <c r="H1243" s="7" t="s">
        <v>1031</v>
      </c>
      <c r="I1243" s="7" t="s">
        <v>1031</v>
      </c>
      <c r="J1243" t="str">
        <f>VLOOKUP(A:A,[1]Sayfa1!$G:$K,5,0)</f>
        <v>23 NİSAN MAH. HACI ALİ EKİNCİ SOK. NO:3 TEKKEKÖY SAMSUN</v>
      </c>
      <c r="K1243" t="str">
        <f>VLOOKUP(A:A,[1]Sayfa1!$G:$M,7,0)</f>
        <v>SAMSUN</v>
      </c>
      <c r="L1243" t="str">
        <f>VLOOKUP(A:A,[1]Sayfa1!$G:$L,6,0)</f>
        <v>TEKKEKÖY</v>
      </c>
      <c r="M1243" s="3">
        <v>1</v>
      </c>
      <c r="N1243" s="3">
        <v>1</v>
      </c>
      <c r="O1243" s="10">
        <v>0</v>
      </c>
      <c r="P1243" s="3">
        <v>0</v>
      </c>
    </row>
    <row r="1244" spans="1:16" x14ac:dyDescent="0.3">
      <c r="A1244" s="6" t="s">
        <v>4165</v>
      </c>
      <c r="B1244" s="6" t="s">
        <v>4166</v>
      </c>
      <c r="C1244" s="2" t="s">
        <v>18</v>
      </c>
      <c r="D1244" s="6">
        <v>41.266182100000002</v>
      </c>
      <c r="E1244" s="6">
        <v>36.3387156</v>
      </c>
      <c r="G1244" s="7" t="s">
        <v>1031</v>
      </c>
      <c r="H1244" s="7" t="s">
        <v>1031</v>
      </c>
      <c r="I1244" s="7" t="s">
        <v>1031</v>
      </c>
      <c r="J1244" t="str">
        <f>VLOOKUP(A:A,[1]Sayfa1!$G:$K,5,0)</f>
        <v>DEREBAHÇE MH. BAHÇE SK. NO:13/1 ILKADIM SAMSUN</v>
      </c>
      <c r="K1244" t="str">
        <f>VLOOKUP(A:A,[1]Sayfa1!$G:$M,7,0)</f>
        <v>SAMSUN</v>
      </c>
      <c r="L1244" t="str">
        <f>VLOOKUP(A:A,[1]Sayfa1!$G:$L,6,0)</f>
        <v>ILKADIM</v>
      </c>
      <c r="M1244" s="3">
        <v>1</v>
      </c>
      <c r="N1244" s="3">
        <v>1</v>
      </c>
      <c r="O1244" s="10">
        <v>0</v>
      </c>
      <c r="P1244" s="3">
        <v>0</v>
      </c>
    </row>
    <row r="1245" spans="1:16" x14ac:dyDescent="0.3">
      <c r="A1245" s="6" t="s">
        <v>4167</v>
      </c>
      <c r="B1245" s="6" t="s">
        <v>4168</v>
      </c>
      <c r="C1245" s="2" t="s">
        <v>18</v>
      </c>
      <c r="D1245" s="6">
        <v>41.264429</v>
      </c>
      <c r="E1245" s="6">
        <v>36.365860099999999</v>
      </c>
      <c r="G1245" s="7" t="s">
        <v>1031</v>
      </c>
      <c r="H1245" s="7" t="s">
        <v>1031</v>
      </c>
      <c r="I1245" s="7" t="s">
        <v>1031</v>
      </c>
      <c r="J1245" t="str">
        <f>VLOOKUP(A:A,[1]Sayfa1!$G:$K,5,0)</f>
        <v>BELEDİYE EVLERİ MAH. GEDİZLİ SOK. NO:1/1 CANIK SAMSUN</v>
      </c>
      <c r="K1245" t="str">
        <f>VLOOKUP(A:A,[1]Sayfa1!$G:$M,7,0)</f>
        <v>SAMSUN</v>
      </c>
      <c r="L1245" t="str">
        <f>VLOOKUP(A:A,[1]Sayfa1!$G:$L,6,0)</f>
        <v>CANIK</v>
      </c>
      <c r="M1245" s="3">
        <v>1</v>
      </c>
      <c r="N1245" s="3">
        <v>1</v>
      </c>
      <c r="O1245" s="10">
        <v>0</v>
      </c>
      <c r="P1245" s="3">
        <v>0</v>
      </c>
    </row>
    <row r="1246" spans="1:16" x14ac:dyDescent="0.3">
      <c r="A1246" s="6" t="s">
        <v>4169</v>
      </c>
      <c r="B1246" s="6" t="s">
        <v>4170</v>
      </c>
      <c r="C1246" s="2" t="s">
        <v>18</v>
      </c>
      <c r="D1246" s="6">
        <v>41.253084999999999</v>
      </c>
      <c r="E1246" s="6">
        <v>36.360624999999999</v>
      </c>
      <c r="G1246" s="7" t="s">
        <v>1031</v>
      </c>
      <c r="H1246" s="7" t="s">
        <v>1031</v>
      </c>
      <c r="I1246" s="7" t="s">
        <v>1031</v>
      </c>
      <c r="J1246" t="str">
        <f>VLOOKUP(A:A,[1]Sayfa1!$G:$K,5,0)</f>
        <v>TEKNEPINAR MAH. YENİ SOK. NO:192/1 CANIK SAMSUN</v>
      </c>
      <c r="K1246" t="str">
        <f>VLOOKUP(A:A,[1]Sayfa1!$G:$M,7,0)</f>
        <v>SAMSUN</v>
      </c>
      <c r="L1246" t="str">
        <f>VLOOKUP(A:A,[1]Sayfa1!$G:$L,6,0)</f>
        <v>CANIK</v>
      </c>
      <c r="M1246" s="3">
        <v>1</v>
      </c>
      <c r="N1246" s="3">
        <v>1</v>
      </c>
      <c r="O1246" s="10">
        <v>0</v>
      </c>
      <c r="P1246" s="3">
        <v>0</v>
      </c>
    </row>
    <row r="1247" spans="1:16" x14ac:dyDescent="0.3">
      <c r="A1247" s="6" t="s">
        <v>4171</v>
      </c>
      <c r="B1247" s="6" t="s">
        <v>4172</v>
      </c>
      <c r="C1247" s="2" t="s">
        <v>18</v>
      </c>
      <c r="D1247" s="6">
        <v>41.266693199999999</v>
      </c>
      <c r="E1247" s="6">
        <v>36.359997100000001</v>
      </c>
      <c r="G1247" s="7" t="s">
        <v>1031</v>
      </c>
      <c r="H1247" s="7" t="s">
        <v>1031</v>
      </c>
      <c r="I1247" s="7" t="s">
        <v>1031</v>
      </c>
      <c r="J1247" t="str">
        <f>VLOOKUP(A:A,[1]Sayfa1!$G:$K,5,0)</f>
        <v>_ KARŞIYAKA MAH. 315. SOK. SAMSUN(MERKEZ) SAMSUN</v>
      </c>
      <c r="K1247" t="str">
        <f>VLOOKUP(A:A,[1]Sayfa1!$G:$M,7,0)</f>
        <v>SAMSUN</v>
      </c>
      <c r="L1247" t="str">
        <f>VLOOKUP(A:A,[1]Sayfa1!$G:$L,6,0)</f>
        <v>SAMSUN(MERKEZ)</v>
      </c>
      <c r="M1247" s="3">
        <v>1</v>
      </c>
      <c r="N1247" s="3">
        <v>1</v>
      </c>
      <c r="O1247" s="10">
        <v>0</v>
      </c>
      <c r="P1247" s="3">
        <v>0</v>
      </c>
    </row>
    <row r="1248" spans="1:16" x14ac:dyDescent="0.3">
      <c r="A1248" s="6" t="s">
        <v>4173</v>
      </c>
      <c r="B1248" s="6" t="s">
        <v>4174</v>
      </c>
      <c r="C1248" s="2" t="s">
        <v>18</v>
      </c>
      <c r="D1248" s="6">
        <v>41.2201503</v>
      </c>
      <c r="E1248" s="6">
        <v>36.452207600000001</v>
      </c>
      <c r="G1248" s="7" t="s">
        <v>1031</v>
      </c>
      <c r="H1248" s="7" t="s">
        <v>1031</v>
      </c>
      <c r="I1248" s="7" t="s">
        <v>1031</v>
      </c>
      <c r="J1248" t="str">
        <f>VLOOKUP(A:A,[1]Sayfa1!$G:$K,5,0)</f>
        <v>KURTULUŞ MH. ŞEYH ZEYNETTİN CD. NO:28/1   TEKKEKÖY SAMSUN</v>
      </c>
      <c r="K1248" t="str">
        <f>VLOOKUP(A:A,[1]Sayfa1!$G:$M,7,0)</f>
        <v>SAMSUN</v>
      </c>
      <c r="L1248" t="str">
        <f>VLOOKUP(A:A,[1]Sayfa1!$G:$L,6,0)</f>
        <v>TEKKEKÖY</v>
      </c>
      <c r="M1248" s="3">
        <v>1</v>
      </c>
      <c r="N1248" s="3">
        <v>1</v>
      </c>
      <c r="O1248" s="10">
        <v>0</v>
      </c>
      <c r="P1248" s="3">
        <v>0</v>
      </c>
    </row>
    <row r="1249" spans="1:16" x14ac:dyDescent="0.3">
      <c r="A1249" s="6" t="s">
        <v>4175</v>
      </c>
      <c r="B1249" s="6" t="s">
        <v>4176</v>
      </c>
      <c r="C1249" s="2" t="s">
        <v>18</v>
      </c>
      <c r="D1249" s="6">
        <v>41.271483799999999</v>
      </c>
      <c r="E1249" s="6">
        <v>36.366281100000002</v>
      </c>
      <c r="G1249" s="7" t="s">
        <v>1031</v>
      </c>
      <c r="H1249" s="7" t="s">
        <v>1031</v>
      </c>
      <c r="I1249" s="7" t="s">
        <v>1031</v>
      </c>
      <c r="J1249" t="str">
        <f>VLOOKUP(A:A,[1]Sayfa1!$G:$K,5,0)</f>
        <v>KARŞIYAKA MAH MEKKE CAD. NO:78 CANIK SAMSUN</v>
      </c>
      <c r="K1249" t="str">
        <f>VLOOKUP(A:A,[1]Sayfa1!$G:$M,7,0)</f>
        <v>SAMSUN</v>
      </c>
      <c r="L1249" t="str">
        <f>VLOOKUP(A:A,[1]Sayfa1!$G:$L,6,0)</f>
        <v>CANIK</v>
      </c>
      <c r="M1249" s="3">
        <v>1</v>
      </c>
      <c r="N1249" s="3">
        <v>1</v>
      </c>
      <c r="O1249" s="10">
        <v>0</v>
      </c>
      <c r="P1249" s="3">
        <v>0</v>
      </c>
    </row>
    <row r="1250" spans="1:16" x14ac:dyDescent="0.3">
      <c r="A1250" s="6" t="s">
        <v>4177</v>
      </c>
      <c r="B1250" s="6" t="s">
        <v>4178</v>
      </c>
      <c r="C1250" s="2" t="s">
        <v>18</v>
      </c>
      <c r="D1250" s="6">
        <v>41.215735899999999</v>
      </c>
      <c r="E1250" s="6">
        <v>36.455186699999999</v>
      </c>
      <c r="G1250" s="7" t="s">
        <v>1031</v>
      </c>
      <c r="H1250" s="7" t="s">
        <v>1031</v>
      </c>
      <c r="I1250" s="7" t="s">
        <v>1031</v>
      </c>
      <c r="J1250" t="str">
        <f>VLOOKUP(A:A,[1]Sayfa1!$G:$K,5,0)</f>
        <v>KURTULUŞ MH. ŞEYH ZEYNETTİN CD. NO:84/B</v>
      </c>
      <c r="K1250" t="str">
        <f>VLOOKUP(A:A,[1]Sayfa1!$G:$M,7,0)</f>
        <v>SAMSUN</v>
      </c>
      <c r="L1250" t="str">
        <f>VLOOKUP(A:A,[1]Sayfa1!$G:$L,6,0)</f>
        <v>TEKKEKÖY</v>
      </c>
      <c r="M1250" s="3">
        <v>1</v>
      </c>
      <c r="N1250" s="3">
        <v>1</v>
      </c>
      <c r="O1250" s="10">
        <v>0</v>
      </c>
      <c r="P1250" s="3">
        <v>0</v>
      </c>
    </row>
    <row r="1251" spans="1:16" x14ac:dyDescent="0.3">
      <c r="A1251" s="6" t="s">
        <v>4179</v>
      </c>
      <c r="B1251" s="6" t="s">
        <v>4180</v>
      </c>
      <c r="C1251" s="2" t="s">
        <v>18</v>
      </c>
      <c r="D1251" s="6">
        <v>41.257576800000002</v>
      </c>
      <c r="E1251" s="6">
        <v>36.366665599999997</v>
      </c>
      <c r="G1251" s="7" t="s">
        <v>1031</v>
      </c>
      <c r="H1251" s="7" t="s">
        <v>1031</v>
      </c>
      <c r="I1251" s="7" t="s">
        <v>1031</v>
      </c>
      <c r="J1251" t="str">
        <f>VLOOKUP(A:A,[1]Sayfa1!$G:$K,5,0)</f>
        <v>HASKÖY MH. ÜSKÜP CD. NO:60/C-2-3-4 CANIK SAMSUN</v>
      </c>
      <c r="K1251" t="str">
        <f>VLOOKUP(A:A,[1]Sayfa1!$G:$M,7,0)</f>
        <v>SAMSUN</v>
      </c>
      <c r="L1251" t="str">
        <f>VLOOKUP(A:A,[1]Sayfa1!$G:$L,6,0)</f>
        <v>CANIK</v>
      </c>
      <c r="M1251" s="3">
        <v>1</v>
      </c>
      <c r="N1251" s="3">
        <v>1</v>
      </c>
      <c r="O1251" s="10">
        <v>0</v>
      </c>
      <c r="P1251" s="3">
        <v>0</v>
      </c>
    </row>
    <row r="1252" spans="1:16" x14ac:dyDescent="0.3">
      <c r="A1252" s="6" t="s">
        <v>4181</v>
      </c>
      <c r="B1252" s="6" t="s">
        <v>4182</v>
      </c>
      <c r="C1252" s="2" t="s">
        <v>18</v>
      </c>
      <c r="D1252" s="6">
        <v>41.239412399999999</v>
      </c>
      <c r="E1252" s="6">
        <v>36.406356700000003</v>
      </c>
      <c r="G1252" s="7" t="s">
        <v>1031</v>
      </c>
      <c r="H1252" s="7" t="s">
        <v>1031</v>
      </c>
      <c r="I1252" s="7" t="s">
        <v>1031</v>
      </c>
      <c r="J1252" t="str">
        <f>VLOOKUP(A:A,[1]Sayfa1!$G:$K,5,0)</f>
        <v>KİRAZLIK MH. ATATÜRK BULVARI NO:98/1 TEKKEKÖY SAMSUN</v>
      </c>
      <c r="K1252" t="str">
        <f>VLOOKUP(A:A,[1]Sayfa1!$G:$M,7,0)</f>
        <v>SAMSUN</v>
      </c>
      <c r="L1252" t="str">
        <f>VLOOKUP(A:A,[1]Sayfa1!$G:$L,6,0)</f>
        <v>TEKKEKÖY</v>
      </c>
      <c r="M1252" s="3">
        <v>1</v>
      </c>
      <c r="N1252" s="3">
        <v>1</v>
      </c>
      <c r="O1252" s="10">
        <v>0</v>
      </c>
      <c r="P1252" s="3">
        <v>0</v>
      </c>
    </row>
    <row r="1253" spans="1:16" x14ac:dyDescent="0.3">
      <c r="A1253" s="6" t="s">
        <v>4183</v>
      </c>
      <c r="B1253" s="6" t="s">
        <v>4184</v>
      </c>
      <c r="C1253" s="2" t="s">
        <v>18</v>
      </c>
      <c r="D1253" s="6">
        <v>41.269121699999999</v>
      </c>
      <c r="E1253" s="6">
        <v>36.351154999999999</v>
      </c>
      <c r="G1253" s="7" t="s">
        <v>1031</v>
      </c>
      <c r="H1253" s="7" t="s">
        <v>1031</v>
      </c>
      <c r="I1253" s="7" t="s">
        <v>1031</v>
      </c>
      <c r="J1253" t="str">
        <f>VLOOKUP(A:A,[1]Sayfa1!$G:$K,5,0)</f>
        <v>BIM A.S. (D271 KUZEY YILDIZI) CANIK SAMSUN</v>
      </c>
      <c r="K1253" t="str">
        <f>VLOOKUP(A:A,[1]Sayfa1!$G:$M,7,0)</f>
        <v>SAMSUN</v>
      </c>
      <c r="L1253" t="str">
        <f>VLOOKUP(A:A,[1]Sayfa1!$G:$L,6,0)</f>
        <v>CANIK</v>
      </c>
      <c r="M1253" s="3">
        <v>1</v>
      </c>
      <c r="N1253" s="3">
        <v>1</v>
      </c>
      <c r="O1253" s="10">
        <v>0</v>
      </c>
      <c r="P1253" s="3">
        <v>0</v>
      </c>
    </row>
    <row r="1254" spans="1:16" x14ac:dyDescent="0.3">
      <c r="A1254" s="6" t="s">
        <v>4185</v>
      </c>
      <c r="B1254" s="6" t="s">
        <v>4186</v>
      </c>
      <c r="C1254" s="2" t="s">
        <v>18</v>
      </c>
      <c r="D1254" s="6">
        <v>41.264704500000001</v>
      </c>
      <c r="E1254" s="6">
        <v>36.335858899999998</v>
      </c>
      <c r="G1254" s="7" t="s">
        <v>1031</v>
      </c>
      <c r="H1254" s="7" t="s">
        <v>1031</v>
      </c>
      <c r="I1254" s="7" t="s">
        <v>1031</v>
      </c>
      <c r="J1254" t="str">
        <f>VLOOKUP(A:A,[1]Sayfa1!$G:$K,5,0)</f>
        <v>DEREBAHÇE MH. KAFKAS SK. NO:47/13-14-15-16 ILKADIM SAMSUN</v>
      </c>
      <c r="K1254" t="str">
        <f>VLOOKUP(A:A,[1]Sayfa1!$G:$M,7,0)</f>
        <v>SAMSUN</v>
      </c>
      <c r="L1254" t="str">
        <f>VLOOKUP(A:A,[1]Sayfa1!$G:$L,6,0)</f>
        <v>ILKADIM</v>
      </c>
      <c r="M1254" s="3">
        <v>1</v>
      </c>
      <c r="N1254" s="3">
        <v>1</v>
      </c>
      <c r="O1254" s="10">
        <v>0</v>
      </c>
      <c r="P1254" s="3">
        <v>0</v>
      </c>
    </row>
    <row r="1255" spans="1:16" x14ac:dyDescent="0.3">
      <c r="A1255" s="6" t="s">
        <v>4187</v>
      </c>
      <c r="B1255" s="6" t="s">
        <v>4188</v>
      </c>
      <c r="C1255" s="2" t="s">
        <v>18</v>
      </c>
      <c r="D1255" s="6">
        <v>41.258913800000002</v>
      </c>
      <c r="E1255" s="6">
        <v>36.362008400000001</v>
      </c>
      <c r="G1255" s="7" t="s">
        <v>1031</v>
      </c>
      <c r="H1255" s="7" t="s">
        <v>1031</v>
      </c>
      <c r="I1255" s="7" t="s">
        <v>1031</v>
      </c>
      <c r="J1255" t="str">
        <f>VLOOKUP(A:A,[1]Sayfa1!$G:$K,5,0)</f>
        <v>HASKÖY MH. CENGİZ TOPEL CD. NO:150/2    CANIK SAMSUN</v>
      </c>
      <c r="K1255" t="str">
        <f>VLOOKUP(A:A,[1]Sayfa1!$G:$M,7,0)</f>
        <v>SAMSUN</v>
      </c>
      <c r="L1255" t="str">
        <f>VLOOKUP(A:A,[1]Sayfa1!$G:$L,6,0)</f>
        <v>CANIK</v>
      </c>
      <c r="M1255" s="3">
        <v>1</v>
      </c>
      <c r="N1255" s="3">
        <v>1</v>
      </c>
      <c r="O1255" s="10">
        <v>0</v>
      </c>
      <c r="P1255" s="3">
        <v>0</v>
      </c>
    </row>
    <row r="1256" spans="1:16" x14ac:dyDescent="0.3">
      <c r="A1256" s="6" t="s">
        <v>4189</v>
      </c>
      <c r="B1256" s="6" t="s">
        <v>4190</v>
      </c>
      <c r="C1256" s="2" t="s">
        <v>18</v>
      </c>
      <c r="D1256" s="6">
        <v>41.259226699999999</v>
      </c>
      <c r="E1256" s="6">
        <v>36.351349499999998</v>
      </c>
      <c r="G1256" s="7" t="s">
        <v>1031</v>
      </c>
      <c r="H1256" s="7" t="s">
        <v>1031</v>
      </c>
      <c r="I1256" s="7" t="s">
        <v>1031</v>
      </c>
      <c r="J1256" t="str">
        <f>VLOOKUP(A:A,[1]Sayfa1!$G:$K,5,0)</f>
        <v>GAZİOSMANPAŞA MAH. AYDINOĞULLARI SOK. NO:25/AA CANIK SAMSUN</v>
      </c>
      <c r="K1256" t="str">
        <f>VLOOKUP(A:A,[1]Sayfa1!$G:$M,7,0)</f>
        <v>SAMSUN</v>
      </c>
      <c r="L1256" t="str">
        <f>VLOOKUP(A:A,[1]Sayfa1!$G:$L,6,0)</f>
        <v>CANIK</v>
      </c>
      <c r="M1256" s="3">
        <v>1</v>
      </c>
      <c r="N1256" s="3">
        <v>1</v>
      </c>
      <c r="O1256" s="10">
        <v>0</v>
      </c>
      <c r="P1256" s="3">
        <v>0</v>
      </c>
    </row>
    <row r="1257" spans="1:16" x14ac:dyDescent="0.3">
      <c r="A1257" s="6" t="s">
        <v>4191</v>
      </c>
      <c r="B1257" s="6" t="s">
        <v>4192</v>
      </c>
      <c r="C1257" s="2" t="s">
        <v>18</v>
      </c>
      <c r="D1257" s="6">
        <v>41.220740300000003</v>
      </c>
      <c r="E1257" s="6">
        <v>36.459990300000001</v>
      </c>
      <c r="G1257" s="7" t="s">
        <v>1031</v>
      </c>
      <c r="H1257" s="7" t="s">
        <v>1031</v>
      </c>
      <c r="I1257" s="7" t="s">
        <v>1031</v>
      </c>
      <c r="J1257" t="str">
        <f>VLOOKUP(A:A,[1]Sayfa1!$G:$K,5,0)</f>
        <v>19 MAYIS MAH. HACI ALİ EKİNCİ BULVARI NO:29/B TEKKEKÖY SAMSUN</v>
      </c>
      <c r="K1257" t="str">
        <f>VLOOKUP(A:A,[1]Sayfa1!$G:$M,7,0)</f>
        <v>SAMSUN</v>
      </c>
      <c r="L1257" t="str">
        <f>VLOOKUP(A:A,[1]Sayfa1!$G:$L,6,0)</f>
        <v>TEKKEKÖY</v>
      </c>
      <c r="M1257" s="3">
        <v>1</v>
      </c>
      <c r="N1257" s="3">
        <v>1</v>
      </c>
      <c r="O1257" s="10">
        <v>0</v>
      </c>
      <c r="P1257" s="3">
        <v>0</v>
      </c>
    </row>
    <row r="1258" spans="1:16" x14ac:dyDescent="0.3">
      <c r="A1258" s="6" t="s">
        <v>4193</v>
      </c>
      <c r="B1258" s="6" t="s">
        <v>4194</v>
      </c>
      <c r="C1258" s="2" t="s">
        <v>18</v>
      </c>
      <c r="D1258" s="6">
        <v>41.264456899999999</v>
      </c>
      <c r="E1258" s="6">
        <v>36.361463399999998</v>
      </c>
      <c r="G1258" s="7" t="s">
        <v>1031</v>
      </c>
      <c r="H1258" s="7" t="s">
        <v>1031</v>
      </c>
      <c r="I1258" s="7" t="s">
        <v>1031</v>
      </c>
      <c r="J1258" t="str">
        <f>VLOOKUP(A:A,[1]Sayfa1!$G:$K,5,0)</f>
        <v>ULUDAĞ MAH. İSKİLİP SOK. NO: 24 / 11 CANIK SAMSUN</v>
      </c>
      <c r="K1258" t="str">
        <f>VLOOKUP(A:A,[1]Sayfa1!$G:$M,7,0)</f>
        <v>SAMSUN</v>
      </c>
      <c r="L1258" t="str">
        <f>VLOOKUP(A:A,[1]Sayfa1!$G:$L,6,0)</f>
        <v>CANIK</v>
      </c>
      <c r="M1258" s="3">
        <v>1</v>
      </c>
      <c r="N1258" s="3">
        <v>1</v>
      </c>
      <c r="O1258" s="10">
        <v>0</v>
      </c>
      <c r="P1258" s="3">
        <v>0</v>
      </c>
    </row>
    <row r="1259" spans="1:16" x14ac:dyDescent="0.3">
      <c r="A1259" s="6" t="s">
        <v>4195</v>
      </c>
      <c r="B1259" s="6" t="s">
        <v>4196</v>
      </c>
      <c r="C1259" s="2" t="s">
        <v>18</v>
      </c>
      <c r="D1259" s="6">
        <v>41.209930300000003</v>
      </c>
      <c r="E1259" s="6">
        <v>36.463212400000003</v>
      </c>
      <c r="G1259" s="7" t="s">
        <v>1031</v>
      </c>
      <c r="H1259" s="7" t="s">
        <v>1031</v>
      </c>
      <c r="I1259" s="7" t="s">
        <v>1031</v>
      </c>
      <c r="J1259" t="str">
        <f>VLOOKUP(A:A,[1]Sayfa1!$G:$K,5,0)</f>
        <v>ÇAY MAH. ŞEYH ZEYNEDDİN CAD. NO:199 /17-18 TEKKEKÖY SAMSUN</v>
      </c>
      <c r="K1259" t="str">
        <f>VLOOKUP(A:A,[1]Sayfa1!$G:$M,7,0)</f>
        <v>SAMSUN</v>
      </c>
      <c r="L1259" t="str">
        <f>VLOOKUP(A:A,[1]Sayfa1!$G:$L,6,0)</f>
        <v>TEKKEKÖY</v>
      </c>
      <c r="M1259" s="3">
        <v>1</v>
      </c>
      <c r="N1259" s="3">
        <v>1</v>
      </c>
      <c r="O1259" s="10">
        <v>0</v>
      </c>
      <c r="P1259" s="3">
        <v>0</v>
      </c>
    </row>
    <row r="1260" spans="1:16" x14ac:dyDescent="0.3">
      <c r="A1260" s="6" t="s">
        <v>4197</v>
      </c>
      <c r="B1260" s="6" t="s">
        <v>4198</v>
      </c>
      <c r="C1260" s="2" t="s">
        <v>18</v>
      </c>
      <c r="D1260" s="6">
        <v>41.237388500000002</v>
      </c>
      <c r="E1260" s="6">
        <v>36.409304800000001</v>
      </c>
      <c r="G1260" s="7" t="s">
        <v>1031</v>
      </c>
      <c r="H1260" s="7" t="s">
        <v>1031</v>
      </c>
      <c r="I1260" s="7" t="s">
        <v>1031</v>
      </c>
      <c r="J1260" t="str">
        <f>VLOOKUP(A:A,[1]Sayfa1!$G:$K,5,0)</f>
        <v>İSTİKLAL MAH. KANUNİ SULTAN SÜLEYMAN CAD. NO:3B ADRES KODU:5278645386 TEKKEKÖY SAMSUN</v>
      </c>
      <c r="K1260" t="str">
        <f>VLOOKUP(A:A,[1]Sayfa1!$G:$M,7,0)</f>
        <v>SAMSUN</v>
      </c>
      <c r="L1260" t="str">
        <f>VLOOKUP(A:A,[1]Sayfa1!$G:$L,6,0)</f>
        <v>TEKKEKÖY</v>
      </c>
      <c r="M1260" s="3">
        <v>1</v>
      </c>
      <c r="N1260" s="3">
        <v>1</v>
      </c>
      <c r="O1260" s="10">
        <v>0</v>
      </c>
      <c r="P1260" s="3">
        <v>0</v>
      </c>
    </row>
    <row r="1261" spans="1:16" x14ac:dyDescent="0.3">
      <c r="A1261" s="6" t="s">
        <v>4199</v>
      </c>
      <c r="B1261" s="6" t="s">
        <v>4200</v>
      </c>
      <c r="C1261" s="2" t="s">
        <v>18</v>
      </c>
      <c r="D1261" s="6">
        <v>41.259913500000003</v>
      </c>
      <c r="E1261" s="6">
        <v>36.3585639</v>
      </c>
      <c r="G1261" s="7" t="s">
        <v>1031</v>
      </c>
      <c r="H1261" s="7" t="s">
        <v>1031</v>
      </c>
      <c r="I1261" s="7" t="s">
        <v>1031</v>
      </c>
      <c r="J1261" t="str">
        <f>VLOOKUP(A:A,[1]Sayfa1!$G:$K,5,0)</f>
        <v>ULUDAĞ MAH. MAHMUDİYE CAD. NO:45/1 CANIK SAMSUN</v>
      </c>
      <c r="K1261" t="str">
        <f>VLOOKUP(A:A,[1]Sayfa1!$G:$M,7,0)</f>
        <v>SAMSUN</v>
      </c>
      <c r="L1261" t="str">
        <f>VLOOKUP(A:A,[1]Sayfa1!$G:$L,6,0)</f>
        <v>CANIK</v>
      </c>
      <c r="M1261" s="3">
        <v>1</v>
      </c>
      <c r="N1261" s="3">
        <v>1</v>
      </c>
      <c r="O1261" s="10">
        <v>0</v>
      </c>
      <c r="P1261" s="3">
        <v>0</v>
      </c>
    </row>
    <row r="1262" spans="1:16" x14ac:dyDescent="0.3">
      <c r="A1262" s="6" t="s">
        <v>4201</v>
      </c>
      <c r="B1262" s="6" t="s">
        <v>4202</v>
      </c>
      <c r="C1262" s="2" t="s">
        <v>18</v>
      </c>
      <c r="D1262" s="6">
        <v>41.2686001</v>
      </c>
      <c r="E1262" s="6">
        <v>36.342918300000001</v>
      </c>
      <c r="G1262" s="7" t="s">
        <v>1031</v>
      </c>
      <c r="H1262" s="7" t="s">
        <v>1031</v>
      </c>
      <c r="I1262" s="7" t="s">
        <v>1031</v>
      </c>
      <c r="J1262" t="str">
        <f>VLOOKUP(A:A,[1]Sayfa1!$G:$K,5,0)</f>
        <v>DEREBAHÇE MAH. YENİ AY SOK. NO:1-13/14 ILKADIM SAMSUN</v>
      </c>
      <c r="K1262" t="str">
        <f>VLOOKUP(A:A,[1]Sayfa1!$G:$M,7,0)</f>
        <v>SAMSUN</v>
      </c>
      <c r="L1262" t="str">
        <f>VLOOKUP(A:A,[1]Sayfa1!$G:$L,6,0)</f>
        <v>ILKADIM</v>
      </c>
      <c r="M1262" s="3">
        <v>1</v>
      </c>
      <c r="N1262" s="3">
        <v>1</v>
      </c>
      <c r="O1262" s="10">
        <v>0</v>
      </c>
      <c r="P1262" s="3">
        <v>0</v>
      </c>
    </row>
    <row r="1263" spans="1:16" x14ac:dyDescent="0.3">
      <c r="A1263" s="6" t="s">
        <v>4203</v>
      </c>
      <c r="B1263" s="6" t="s">
        <v>4204</v>
      </c>
      <c r="C1263" s="2" t="s">
        <v>18</v>
      </c>
      <c r="D1263" s="6">
        <v>41.217671899999999</v>
      </c>
      <c r="E1263" s="6">
        <v>36.457630899999998</v>
      </c>
      <c r="G1263" s="7" t="s">
        <v>1031</v>
      </c>
      <c r="H1263" s="7" t="s">
        <v>1031</v>
      </c>
      <c r="I1263" s="7" t="s">
        <v>1031</v>
      </c>
      <c r="J1263" t="str">
        <f>VLOOKUP(A:A,[1]Sayfa1!$G:$K,5,0)</f>
        <v>19 MAYIS MAH. 655. CAD. NO:27-29 A - B TEKKEKÖY SAMSUN</v>
      </c>
      <c r="K1263" t="str">
        <f>VLOOKUP(A:A,[1]Sayfa1!$G:$M,7,0)</f>
        <v>SAMSUN</v>
      </c>
      <c r="L1263" t="str">
        <f>VLOOKUP(A:A,[1]Sayfa1!$G:$L,6,0)</f>
        <v>TEKKEKÖY</v>
      </c>
      <c r="M1263" s="3">
        <v>1</v>
      </c>
      <c r="N1263" s="3">
        <v>1</v>
      </c>
      <c r="O1263" s="10">
        <v>0</v>
      </c>
      <c r="P1263" s="3">
        <v>0</v>
      </c>
    </row>
    <row r="1264" spans="1:16" x14ac:dyDescent="0.3">
      <c r="A1264" s="6" t="s">
        <v>4205</v>
      </c>
      <c r="B1264" s="6" t="s">
        <v>4206</v>
      </c>
      <c r="C1264" s="2" t="s">
        <v>18</v>
      </c>
      <c r="D1264" s="6">
        <v>41.262782299999998</v>
      </c>
      <c r="E1264" s="6">
        <v>36.336356500000001</v>
      </c>
      <c r="G1264" s="7" t="s">
        <v>1031</v>
      </c>
      <c r="H1264" s="7" t="s">
        <v>1031</v>
      </c>
      <c r="I1264" s="7" t="s">
        <v>1031</v>
      </c>
      <c r="J1264" t="str">
        <f>VLOOKUP(A:A,[1]Sayfa1!$G:$K,5,0)</f>
        <v>DEREBAHÇE MAH. 634. SOK. NO: 12B-1-16 ILKADIM SAMSUN</v>
      </c>
      <c r="K1264" t="str">
        <f>VLOOKUP(A:A,[1]Sayfa1!$G:$M,7,0)</f>
        <v>SAMSUN</v>
      </c>
      <c r="L1264" t="str">
        <f>VLOOKUP(A:A,[1]Sayfa1!$G:$L,6,0)</f>
        <v>ILKADIM</v>
      </c>
      <c r="M1264" s="3">
        <v>1</v>
      </c>
      <c r="N1264" s="3">
        <v>1</v>
      </c>
      <c r="O1264" s="10">
        <v>0</v>
      </c>
      <c r="P1264" s="3">
        <v>0</v>
      </c>
    </row>
    <row r="1265" spans="1:16" x14ac:dyDescent="0.3">
      <c r="A1265" s="6" t="s">
        <v>4207</v>
      </c>
      <c r="B1265" s="6" t="s">
        <v>4208</v>
      </c>
      <c r="C1265" s="2" t="s">
        <v>18</v>
      </c>
      <c r="D1265" s="6">
        <v>41.2463774</v>
      </c>
      <c r="E1265" s="6">
        <v>36.361473199999999</v>
      </c>
      <c r="G1265" s="7" t="s">
        <v>1031</v>
      </c>
      <c r="H1265" s="7" t="s">
        <v>1031</v>
      </c>
      <c r="I1265" s="7" t="s">
        <v>1031</v>
      </c>
      <c r="J1265" t="str">
        <f>VLOOKUP(A:A,[1]Sayfa1!$G:$K,5,0)</f>
        <v>TEKNEPINAR MAH. 596. CAD. NO:29/A-1 CANIK SAMSUN CANIK SAMSUN</v>
      </c>
      <c r="K1265" t="str">
        <f>VLOOKUP(A:A,[1]Sayfa1!$G:$M,7,0)</f>
        <v>SAMSUN</v>
      </c>
      <c r="L1265" t="str">
        <f>VLOOKUP(A:A,[1]Sayfa1!$G:$L,6,0)</f>
        <v>CANIK</v>
      </c>
      <c r="M1265" s="3">
        <v>1</v>
      </c>
      <c r="N1265" s="3">
        <v>1</v>
      </c>
      <c r="O1265" s="10">
        <v>0</v>
      </c>
      <c r="P1265" s="3">
        <v>0</v>
      </c>
    </row>
    <row r="1266" spans="1:16" x14ac:dyDescent="0.3">
      <c r="A1266" s="6" t="s">
        <v>4209</v>
      </c>
      <c r="B1266" s="6" t="s">
        <v>4210</v>
      </c>
      <c r="C1266" s="2" t="s">
        <v>18</v>
      </c>
      <c r="D1266" s="6">
        <v>41.215877499999998</v>
      </c>
      <c r="E1266" s="6">
        <v>36.461956100000002</v>
      </c>
      <c r="G1266" s="7" t="s">
        <v>1031</v>
      </c>
      <c r="H1266" s="7" t="s">
        <v>1031</v>
      </c>
      <c r="I1266" s="7" t="s">
        <v>1031</v>
      </c>
      <c r="J1266" t="str">
        <f>VLOOKUP(A:A,[1]Sayfa1!$G:$K,5,0)</f>
        <v>19 MAYIS MAH. 669 CAD. NO:18-1A  TEKKEKÖY SAMSUN</v>
      </c>
      <c r="K1266" t="str">
        <f>VLOOKUP(A:A,[1]Sayfa1!$G:$M,7,0)</f>
        <v>SAMSUN</v>
      </c>
      <c r="L1266" t="str">
        <f>VLOOKUP(A:A,[1]Sayfa1!$G:$L,6,0)</f>
        <v>TEKKEKÖY</v>
      </c>
      <c r="M1266" s="3">
        <v>1</v>
      </c>
      <c r="N1266" s="3">
        <v>1</v>
      </c>
      <c r="O1266" s="10">
        <v>0</v>
      </c>
      <c r="P1266" s="3">
        <v>0</v>
      </c>
    </row>
    <row r="1267" spans="1:16" x14ac:dyDescent="0.3">
      <c r="A1267" s="6" t="s">
        <v>4211</v>
      </c>
      <c r="B1267" s="6" t="s">
        <v>4212</v>
      </c>
      <c r="C1267" s="2" t="s">
        <v>18</v>
      </c>
      <c r="D1267" s="6">
        <v>41.265019799999997</v>
      </c>
      <c r="E1267" s="6">
        <v>36.379137</v>
      </c>
      <c r="G1267" s="7" t="s">
        <v>1031</v>
      </c>
      <c r="H1267" s="7" t="s">
        <v>1031</v>
      </c>
      <c r="I1267" s="7" t="s">
        <v>1031</v>
      </c>
      <c r="J1267" t="str">
        <f>VLOOKUP(A:A,[1]Sayfa1!$G:$K,5,0)</f>
        <v>TOPTEPE MH. AŞIK VEYSEL CAD. NO:41 CANIK SAMSUN</v>
      </c>
      <c r="K1267" t="str">
        <f>VLOOKUP(A:A,[1]Sayfa1!$G:$M,7,0)</f>
        <v>SAMSUN</v>
      </c>
      <c r="L1267" t="str">
        <f>VLOOKUP(A:A,[1]Sayfa1!$G:$L,6,0)</f>
        <v>CANIK</v>
      </c>
      <c r="M1267" s="3">
        <v>1</v>
      </c>
      <c r="N1267" s="3">
        <v>1</v>
      </c>
      <c r="O1267" s="10">
        <v>0</v>
      </c>
      <c r="P1267" s="3">
        <v>0</v>
      </c>
    </row>
    <row r="1268" spans="1:16" x14ac:dyDescent="0.3">
      <c r="A1268" s="6" t="s">
        <v>4213</v>
      </c>
      <c r="B1268" s="6" t="s">
        <v>4214</v>
      </c>
      <c r="C1268" s="2" t="s">
        <v>18</v>
      </c>
      <c r="D1268" s="6">
        <v>41.264067900000001</v>
      </c>
      <c r="E1268" s="6">
        <v>36.352019800000001</v>
      </c>
      <c r="G1268" s="7" t="s">
        <v>1031</v>
      </c>
      <c r="H1268" s="7" t="s">
        <v>1031</v>
      </c>
      <c r="I1268" s="7" t="s">
        <v>1031</v>
      </c>
      <c r="J1268" t="str">
        <f>VLOOKUP(A:A,[1]Sayfa1!$G:$K,5,0)</f>
        <v>SOĞUKSU MAH ÇALIKUŞU SOK. NO:5/1 CANIK SAMSUN</v>
      </c>
      <c r="K1268" t="str">
        <f>VLOOKUP(A:A,[1]Sayfa1!$G:$M,7,0)</f>
        <v>SAMSUN</v>
      </c>
      <c r="L1268" t="str">
        <f>VLOOKUP(A:A,[1]Sayfa1!$G:$L,6,0)</f>
        <v>CANIK</v>
      </c>
      <c r="M1268" s="3">
        <v>1</v>
      </c>
      <c r="N1268" s="3">
        <v>1</v>
      </c>
      <c r="O1268" s="10">
        <v>0</v>
      </c>
      <c r="P1268" s="3">
        <v>0</v>
      </c>
    </row>
    <row r="1269" spans="1:16" x14ac:dyDescent="0.3">
      <c r="A1269" s="6" t="s">
        <v>4215</v>
      </c>
      <c r="B1269" s="6" t="s">
        <v>4216</v>
      </c>
      <c r="C1269" s="2" t="s">
        <v>18</v>
      </c>
      <c r="D1269" s="6">
        <v>41.258668</v>
      </c>
      <c r="E1269" s="6">
        <v>36.3688942</v>
      </c>
      <c r="G1269" s="7" t="s">
        <v>1031</v>
      </c>
      <c r="H1269" s="7" t="s">
        <v>1031</v>
      </c>
      <c r="I1269" s="7" t="s">
        <v>1031</v>
      </c>
      <c r="J1269" t="str">
        <f>VLOOKUP(A:A,[1]Sayfa1!$G:$K,5,0)</f>
        <v>HASKÖY MAH 170. SK NO:17A-B CANIK SAMSUN</v>
      </c>
      <c r="K1269" t="str">
        <f>VLOOKUP(A:A,[1]Sayfa1!$G:$M,7,0)</f>
        <v>SAMSUN</v>
      </c>
      <c r="L1269" t="str">
        <f>VLOOKUP(A:A,[1]Sayfa1!$G:$L,6,0)</f>
        <v>CANIK</v>
      </c>
      <c r="M1269" s="3">
        <v>1</v>
      </c>
      <c r="N1269" s="3">
        <v>1</v>
      </c>
      <c r="O1269" s="10">
        <v>0</v>
      </c>
      <c r="P1269" s="3">
        <v>0</v>
      </c>
    </row>
    <row r="1270" spans="1:16" x14ac:dyDescent="0.3">
      <c r="A1270" s="6" t="s">
        <v>4217</v>
      </c>
      <c r="B1270" s="6" t="s">
        <v>4218</v>
      </c>
      <c r="C1270" s="2" t="s">
        <v>18</v>
      </c>
      <c r="D1270" s="6">
        <v>41.220320000000001</v>
      </c>
      <c r="E1270" s="6">
        <v>36.463631999999997</v>
      </c>
      <c r="G1270" s="7" t="s">
        <v>1031</v>
      </c>
      <c r="H1270" s="7" t="s">
        <v>1031</v>
      </c>
      <c r="I1270" s="7" t="s">
        <v>1031</v>
      </c>
      <c r="J1270" t="str">
        <f>VLOOKUP(A:A,[1]Sayfa1!$G:$K,5,0)</f>
        <v>19 MAYIS MAH HACI EKİNCİ BULVARI NO:54 TEKKEKÖY SAMSUN</v>
      </c>
      <c r="K1270" t="str">
        <f>VLOOKUP(A:A,[1]Sayfa1!$G:$M,7,0)</f>
        <v>SAMSUN</v>
      </c>
      <c r="L1270" t="str">
        <f>VLOOKUP(A:A,[1]Sayfa1!$G:$L,6,0)</f>
        <v>TEKKEKÖY</v>
      </c>
      <c r="M1270" s="3">
        <v>1</v>
      </c>
      <c r="N1270" s="3">
        <v>1</v>
      </c>
      <c r="O1270" s="10">
        <v>0</v>
      </c>
      <c r="P1270" s="3">
        <v>0</v>
      </c>
    </row>
    <row r="1271" spans="1:16" x14ac:dyDescent="0.3">
      <c r="A1271" s="6" t="s">
        <v>4219</v>
      </c>
      <c r="B1271" s="6" t="s">
        <v>4220</v>
      </c>
      <c r="C1271" s="2" t="s">
        <v>18</v>
      </c>
      <c r="D1271" s="6">
        <v>41.144581100000003</v>
      </c>
      <c r="E1271" s="6">
        <v>36.5034706</v>
      </c>
      <c r="G1271" s="7" t="s">
        <v>1031</v>
      </c>
      <c r="H1271" s="7" t="s">
        <v>1031</v>
      </c>
      <c r="I1271" s="7" t="s">
        <v>1031</v>
      </c>
      <c r="J1271" t="str">
        <f>VLOOKUP(A:A,[1]Sayfa1!$G:$K,5,0)</f>
        <v>BÜYÜKLÜ MAH SAMSUN CAD. NO:126B TEKKEKÖY SAMSUN</v>
      </c>
      <c r="K1271" t="str">
        <f>VLOOKUP(A:A,[1]Sayfa1!$G:$M,7,0)</f>
        <v>SAMSUN</v>
      </c>
      <c r="L1271" t="str">
        <f>VLOOKUP(A:A,[1]Sayfa1!$G:$L,6,0)</f>
        <v>TEKKEKÖY</v>
      </c>
      <c r="M1271" s="3">
        <v>1</v>
      </c>
      <c r="N1271" s="3">
        <v>1</v>
      </c>
      <c r="O1271" s="10">
        <v>0</v>
      </c>
      <c r="P1271" s="3">
        <v>0</v>
      </c>
    </row>
    <row r="1272" spans="1:16" x14ac:dyDescent="0.3">
      <c r="A1272" s="6" t="s">
        <v>4221</v>
      </c>
      <c r="B1272" s="6" t="s">
        <v>4222</v>
      </c>
      <c r="C1272" s="2" t="s">
        <v>18</v>
      </c>
      <c r="D1272" s="6">
        <v>41.259048900000003</v>
      </c>
      <c r="E1272" s="6">
        <v>36.321103899999997</v>
      </c>
      <c r="G1272" s="7" t="s">
        <v>1031</v>
      </c>
      <c r="H1272" s="7" t="s">
        <v>1031</v>
      </c>
      <c r="I1272" s="7" t="s">
        <v>1031</v>
      </c>
      <c r="J1272" t="str">
        <f>VLOOKUP(A:A,[1]Sayfa1!$G:$K,5,0)</f>
        <v>DEREBAHÇE MAH ŞEHİT MUSTAFA ZIVALI BULV. NO:69 ILKADIM SAMSUN</v>
      </c>
      <c r="K1272" t="str">
        <f>VLOOKUP(A:A,[1]Sayfa1!$G:$M,7,0)</f>
        <v>SAMSUN</v>
      </c>
      <c r="L1272" t="str">
        <f>VLOOKUP(A:A,[1]Sayfa1!$G:$L,6,0)</f>
        <v>ILKADIM</v>
      </c>
      <c r="M1272" s="3">
        <v>1</v>
      </c>
      <c r="N1272" s="3">
        <v>1</v>
      </c>
      <c r="O1272" s="10">
        <v>0</v>
      </c>
      <c r="P1272" s="3">
        <v>0</v>
      </c>
    </row>
    <row r="1273" spans="1:16" x14ac:dyDescent="0.3">
      <c r="A1273" s="6" t="s">
        <v>4223</v>
      </c>
      <c r="B1273" s="6" t="s">
        <v>4224</v>
      </c>
      <c r="C1273" s="2" t="s">
        <v>18</v>
      </c>
      <c r="D1273" s="6">
        <v>41.269953000000001</v>
      </c>
      <c r="E1273" s="6">
        <v>36.371288200000002</v>
      </c>
      <c r="G1273" s="7" t="s">
        <v>1031</v>
      </c>
      <c r="H1273" s="7" t="s">
        <v>1031</v>
      </c>
      <c r="I1273" s="7" t="s">
        <v>1031</v>
      </c>
      <c r="J1273" t="str">
        <f>VLOOKUP(A:A,[1]Sayfa1!$G:$K,5,0)</f>
        <v>BELEDİYE EVLERİ MAH MEKİKŞAH SOK. NO:42/2 CANIK SAMSUN</v>
      </c>
      <c r="K1273" t="str">
        <f>VLOOKUP(A:A,[1]Sayfa1!$G:$M,7,0)</f>
        <v>SAMSUN</v>
      </c>
      <c r="L1273" t="str">
        <f>VLOOKUP(A:A,[1]Sayfa1!$G:$L,6,0)</f>
        <v>CANIK</v>
      </c>
      <c r="M1273" s="3">
        <v>1</v>
      </c>
      <c r="N1273" s="3">
        <v>1</v>
      </c>
      <c r="O1273" s="10">
        <v>0</v>
      </c>
      <c r="P1273" s="3">
        <v>0</v>
      </c>
    </row>
    <row r="1274" spans="1:16" x14ac:dyDescent="0.3">
      <c r="A1274" s="6" t="s">
        <v>4225</v>
      </c>
      <c r="B1274" s="6" t="s">
        <v>4226</v>
      </c>
      <c r="C1274" s="2" t="s">
        <v>18</v>
      </c>
      <c r="D1274" s="6">
        <v>41.221619099999998</v>
      </c>
      <c r="E1274" s="6">
        <v>36.445626900000001</v>
      </c>
      <c r="G1274" s="7" t="s">
        <v>1031</v>
      </c>
      <c r="H1274" s="7" t="s">
        <v>1031</v>
      </c>
      <c r="I1274" s="7" t="s">
        <v>1031</v>
      </c>
      <c r="J1274" t="str">
        <f>VLOOKUP(A:A,[1]Sayfa1!$G:$K,5,0)</f>
        <v>CUMHURİYET MAH BAKİ ESEN CAD. NO:18BA TEKKEKÖY SAMSUN</v>
      </c>
      <c r="K1274" t="str">
        <f>VLOOKUP(A:A,[1]Sayfa1!$G:$M,7,0)</f>
        <v>SAMSUN</v>
      </c>
      <c r="L1274" t="str">
        <f>VLOOKUP(A:A,[1]Sayfa1!$G:$L,6,0)</f>
        <v>TEKKEKÖY</v>
      </c>
      <c r="M1274" s="3">
        <v>1</v>
      </c>
      <c r="N1274" s="3">
        <v>1</v>
      </c>
      <c r="O1274" s="10">
        <v>0</v>
      </c>
      <c r="P1274" s="3">
        <v>0</v>
      </c>
    </row>
    <row r="1275" spans="1:16" x14ac:dyDescent="0.3">
      <c r="A1275" s="6" t="s">
        <v>4227</v>
      </c>
      <c r="B1275" s="6" t="s">
        <v>4228</v>
      </c>
      <c r="C1275" s="2" t="s">
        <v>18</v>
      </c>
      <c r="D1275" s="6">
        <v>41.2395444</v>
      </c>
      <c r="E1275" s="6">
        <v>36.4175848</v>
      </c>
      <c r="G1275" s="7" t="s">
        <v>1031</v>
      </c>
      <c r="H1275" s="7" t="s">
        <v>1031</v>
      </c>
      <c r="I1275" s="7" t="s">
        <v>1031</v>
      </c>
      <c r="J1275" t="str">
        <f>VLOOKUP(A:A,[1]Sayfa1!$G:$K,5,0)</f>
        <v>İSTİKLAL MAH 56 SOK. NO:39 TEKKEKÖY SAMSUN</v>
      </c>
      <c r="K1275" t="str">
        <f>VLOOKUP(A:A,[1]Sayfa1!$G:$M,7,0)</f>
        <v>SAMSUN</v>
      </c>
      <c r="L1275" t="str">
        <f>VLOOKUP(A:A,[1]Sayfa1!$G:$L,6,0)</f>
        <v>TEKKEKÖY</v>
      </c>
      <c r="M1275" s="3">
        <v>1</v>
      </c>
      <c r="N1275" s="3">
        <v>1</v>
      </c>
      <c r="O1275" s="10">
        <v>0</v>
      </c>
      <c r="P1275" s="3">
        <v>0</v>
      </c>
    </row>
    <row r="1276" spans="1:16" x14ac:dyDescent="0.3">
      <c r="A1276" s="6" t="s">
        <v>4229</v>
      </c>
      <c r="B1276" s="6" t="s">
        <v>4230</v>
      </c>
      <c r="C1276" s="2" t="s">
        <v>18</v>
      </c>
      <c r="D1276" s="6">
        <v>41.080125700000004</v>
      </c>
      <c r="E1276" s="6">
        <v>36.825375100000002</v>
      </c>
      <c r="G1276" s="7" t="s">
        <v>1031</v>
      </c>
      <c r="H1276" s="7" t="s">
        <v>1031</v>
      </c>
      <c r="I1276" s="7" t="s">
        <v>1031</v>
      </c>
      <c r="J1276" t="str">
        <f>VLOOKUP(A:A,[1]Sayfa1!$G:$K,5,0)</f>
        <v>Orta Mah. Musa Küçük Kurt Cad. NO:20 SalıpazarI</v>
      </c>
      <c r="K1276" t="str">
        <f>VLOOKUP(A:A,[1]Sayfa1!$G:$M,7,0)</f>
        <v>SAMSUN</v>
      </c>
      <c r="L1276" t="str">
        <f>VLOOKUP(A:A,[1]Sayfa1!$G:$L,6,0)</f>
        <v>SALIPAZARI</v>
      </c>
      <c r="M1276" s="3">
        <v>1</v>
      </c>
      <c r="N1276" s="3">
        <v>1</v>
      </c>
      <c r="O1276" s="10">
        <v>0</v>
      </c>
      <c r="P1276" s="3">
        <v>0</v>
      </c>
    </row>
    <row r="1277" spans="1:16" x14ac:dyDescent="0.3">
      <c r="A1277" s="6" t="s">
        <v>4231</v>
      </c>
      <c r="B1277" s="6" t="s">
        <v>4232</v>
      </c>
      <c r="C1277" s="2" t="s">
        <v>18</v>
      </c>
      <c r="D1277" s="6">
        <v>41.202227399999998</v>
      </c>
      <c r="E1277" s="6">
        <v>36.732501900000003</v>
      </c>
      <c r="G1277" s="7" t="s">
        <v>1031</v>
      </c>
      <c r="H1277" s="7" t="s">
        <v>1031</v>
      </c>
      <c r="I1277" s="7" t="s">
        <v>1031</v>
      </c>
      <c r="J1277" t="str">
        <f>VLOOKUP(A:A,[1]Sayfa1!$G:$K,5,0)</f>
        <v>ORTA MAH. DR. ORHAN ATILGAN CAD. NO:13/A   ÇARSAMBA SAMSUN</v>
      </c>
      <c r="K1277" t="str">
        <f>VLOOKUP(A:A,[1]Sayfa1!$G:$M,7,0)</f>
        <v>SAMSUN</v>
      </c>
      <c r="L1277" t="str">
        <f>VLOOKUP(A:A,[1]Sayfa1!$G:$L,6,0)</f>
        <v>ÇARSAMBA</v>
      </c>
      <c r="M1277" s="3">
        <v>1</v>
      </c>
      <c r="N1277" s="3">
        <v>1</v>
      </c>
      <c r="O1277" s="10">
        <v>0</v>
      </c>
      <c r="P1277" s="3">
        <v>0</v>
      </c>
    </row>
    <row r="1278" spans="1:16" x14ac:dyDescent="0.3">
      <c r="A1278" s="6" t="s">
        <v>4233</v>
      </c>
      <c r="B1278" s="6" t="s">
        <v>4234</v>
      </c>
      <c r="C1278" s="2" t="s">
        <v>18</v>
      </c>
      <c r="D1278" s="6">
        <v>41.204025899999998</v>
      </c>
      <c r="E1278" s="6">
        <v>36.716888599999997</v>
      </c>
      <c r="G1278" s="7" t="s">
        <v>1031</v>
      </c>
      <c r="H1278" s="7" t="s">
        <v>1031</v>
      </c>
      <c r="I1278" s="7" t="s">
        <v>1031</v>
      </c>
      <c r="J1278" t="str">
        <f>VLOOKUP(A:A,[1]Sayfa1!$G:$K,5,0)</f>
        <v>SUNGURLU  MAH. YENİ SAMSUN CAD. NO:81/A ÇARSAMBA SAMSUN</v>
      </c>
      <c r="K1278" t="str">
        <f>VLOOKUP(A:A,[1]Sayfa1!$G:$M,7,0)</f>
        <v>SAMSUN</v>
      </c>
      <c r="L1278" t="str">
        <f>VLOOKUP(A:A,[1]Sayfa1!$G:$L,6,0)</f>
        <v>ÇARSAMBA</v>
      </c>
      <c r="M1278" s="3">
        <v>1</v>
      </c>
      <c r="N1278" s="3">
        <v>1</v>
      </c>
      <c r="O1278" s="10">
        <v>0</v>
      </c>
      <c r="P1278" s="3">
        <v>0</v>
      </c>
    </row>
    <row r="1279" spans="1:16" x14ac:dyDescent="0.3">
      <c r="A1279" s="6" t="s">
        <v>4235</v>
      </c>
      <c r="B1279" s="6" t="s">
        <v>4236</v>
      </c>
      <c r="C1279" s="2" t="s">
        <v>18</v>
      </c>
      <c r="D1279" s="6">
        <v>41.199986600000003</v>
      </c>
      <c r="E1279" s="6">
        <v>36.722077599999999</v>
      </c>
      <c r="G1279" s="7" t="s">
        <v>1031</v>
      </c>
      <c r="H1279" s="7" t="s">
        <v>1031</v>
      </c>
      <c r="I1279" s="7" t="s">
        <v>1031</v>
      </c>
      <c r="J1279" t="str">
        <f>VLOOKUP(A:A,[1]Sayfa1!$G:$K,5,0)</f>
        <v>SARICALI MAH. MESERRET SK. NO:27 ZEMİNKAT ÇARSAMBA SAMSUN</v>
      </c>
      <c r="K1279" t="str">
        <f>VLOOKUP(A:A,[1]Sayfa1!$G:$M,7,0)</f>
        <v>SAMSUN</v>
      </c>
      <c r="L1279" t="str">
        <f>VLOOKUP(A:A,[1]Sayfa1!$G:$L,6,0)</f>
        <v>ÇARSAMBA</v>
      </c>
      <c r="M1279" s="3">
        <v>1</v>
      </c>
      <c r="N1279" s="3">
        <v>1</v>
      </c>
      <c r="O1279" s="10">
        <v>0</v>
      </c>
      <c r="P1279" s="3">
        <v>0</v>
      </c>
    </row>
    <row r="1280" spans="1:16" x14ac:dyDescent="0.3">
      <c r="A1280" s="6" t="s">
        <v>4237</v>
      </c>
      <c r="B1280" s="6" t="s">
        <v>4238</v>
      </c>
      <c r="C1280" s="2" t="s">
        <v>18</v>
      </c>
      <c r="D1280" s="6">
        <v>41.198939299999999</v>
      </c>
      <c r="E1280" s="6">
        <v>36.728381800000001</v>
      </c>
      <c r="G1280" s="7" t="s">
        <v>1031</v>
      </c>
      <c r="H1280" s="7" t="s">
        <v>1031</v>
      </c>
      <c r="I1280" s="7" t="s">
        <v>1031</v>
      </c>
      <c r="J1280" t="str">
        <f>VLOOKUP(A:A,[1]Sayfa1!$G:$K,5,0)</f>
        <v>ORTA MAH STADYUM CAD. NO:15/A ÇARSAMBA SAMSUN</v>
      </c>
      <c r="K1280" t="str">
        <f>VLOOKUP(A:A,[1]Sayfa1!$G:$M,7,0)</f>
        <v>SAMSUN</v>
      </c>
      <c r="L1280" t="str">
        <f>VLOOKUP(A:A,[1]Sayfa1!$G:$L,6,0)</f>
        <v>ÇARSAMBA</v>
      </c>
      <c r="M1280" s="3">
        <v>1</v>
      </c>
      <c r="N1280" s="3">
        <v>1</v>
      </c>
      <c r="O1280" s="10">
        <v>0</v>
      </c>
      <c r="P1280" s="3">
        <v>0</v>
      </c>
    </row>
    <row r="1281" spans="1:16" x14ac:dyDescent="0.3">
      <c r="A1281" s="6" t="s">
        <v>4239</v>
      </c>
      <c r="B1281" s="6" t="s">
        <v>4240</v>
      </c>
      <c r="C1281" s="2" t="s">
        <v>18</v>
      </c>
      <c r="D1281" s="6">
        <v>41.196594900000001</v>
      </c>
      <c r="E1281" s="6">
        <v>36.729289399999999</v>
      </c>
      <c r="G1281" s="7" t="s">
        <v>1031</v>
      </c>
      <c r="H1281" s="7" t="s">
        <v>1031</v>
      </c>
      <c r="I1281" s="7" t="s">
        <v>1031</v>
      </c>
      <c r="J1281" t="str">
        <f>VLOOKUP(A:A,[1]Sayfa1!$G:$K,5,0)</f>
        <v>ORTA MAH CEMİL ŞENSOY CAD. NO:33/A ÇARSAMBA SAMSUN</v>
      </c>
      <c r="K1281" t="str">
        <f>VLOOKUP(A:A,[1]Sayfa1!$G:$M,7,0)</f>
        <v>SAMSUN</v>
      </c>
      <c r="L1281" t="str">
        <f>VLOOKUP(A:A,[1]Sayfa1!$G:$L,6,0)</f>
        <v>ÇARSAMBA</v>
      </c>
      <c r="M1281" s="3">
        <v>1</v>
      </c>
      <c r="N1281" s="3">
        <v>1</v>
      </c>
      <c r="O1281" s="10">
        <v>0</v>
      </c>
      <c r="P1281" s="3">
        <v>0</v>
      </c>
    </row>
    <row r="1282" spans="1:16" x14ac:dyDescent="0.3">
      <c r="A1282" s="6" t="s">
        <v>4241</v>
      </c>
      <c r="B1282" s="6" t="s">
        <v>4242</v>
      </c>
      <c r="C1282" s="2" t="s">
        <v>18</v>
      </c>
      <c r="D1282" s="6">
        <v>41.197572899999997</v>
      </c>
      <c r="E1282" s="6">
        <v>36.733855200000001</v>
      </c>
      <c r="G1282" s="7" t="s">
        <v>1031</v>
      </c>
      <c r="H1282" s="7" t="s">
        <v>1031</v>
      </c>
      <c r="I1282" s="7" t="s">
        <v>1031</v>
      </c>
      <c r="J1282" t="str">
        <f>VLOOKUP(A:A,[1]Sayfa1!$G:$K,5,0)</f>
        <v>ORTA MH. SOFUOĞLU CD. NO:2/A A/B2 DÜKKAN</v>
      </c>
      <c r="K1282" t="str">
        <f>VLOOKUP(A:A,[1]Sayfa1!$G:$M,7,0)</f>
        <v>SAMSUN</v>
      </c>
      <c r="L1282" t="str">
        <f>VLOOKUP(A:A,[1]Sayfa1!$G:$L,6,0)</f>
        <v>ÇARSAMBA</v>
      </c>
      <c r="M1282" s="3">
        <v>1</v>
      </c>
      <c r="N1282" s="3">
        <v>1</v>
      </c>
      <c r="O1282" s="10">
        <v>0</v>
      </c>
      <c r="P1282" s="3">
        <v>0</v>
      </c>
    </row>
    <row r="1283" spans="1:16" x14ac:dyDescent="0.3">
      <c r="A1283" s="6" t="s">
        <v>4243</v>
      </c>
      <c r="B1283" s="6" t="s">
        <v>4244</v>
      </c>
      <c r="C1283" s="2" t="s">
        <v>18</v>
      </c>
      <c r="D1283" s="6">
        <v>41.194961300000003</v>
      </c>
      <c r="E1283" s="6">
        <v>36.719642200000003</v>
      </c>
      <c r="G1283" s="7" t="s">
        <v>1031</v>
      </c>
      <c r="H1283" s="7" t="s">
        <v>1031</v>
      </c>
      <c r="I1283" s="7" t="s">
        <v>1031</v>
      </c>
      <c r="J1283" t="str">
        <f>VLOOKUP(A:A,[1]Sayfa1!$G:$K,5,0)</f>
        <v>KİRAZLIK ÇAY MH. DEĞİRMENBAŞI CD. NO:77/A ADRES KODU:1357090150</v>
      </c>
      <c r="K1283" t="str">
        <f>VLOOKUP(A:A,[1]Sayfa1!$G:$M,7,0)</f>
        <v>SAMSUN</v>
      </c>
      <c r="L1283" t="str">
        <f>VLOOKUP(A:A,[1]Sayfa1!$G:$L,6,0)</f>
        <v>ÇARSAMBA</v>
      </c>
      <c r="M1283" s="3">
        <v>1</v>
      </c>
      <c r="N1283" s="3">
        <v>1</v>
      </c>
      <c r="O1283" s="10">
        <v>0</v>
      </c>
      <c r="P1283" s="3">
        <v>0</v>
      </c>
    </row>
    <row r="1284" spans="1:16" x14ac:dyDescent="0.3">
      <c r="A1284" s="6" t="s">
        <v>4245</v>
      </c>
      <c r="B1284" s="6" t="s">
        <v>4246</v>
      </c>
      <c r="C1284" s="2" t="s">
        <v>18</v>
      </c>
      <c r="D1284" s="6">
        <v>41.187702199999997</v>
      </c>
      <c r="E1284" s="6">
        <v>36.717311600000002</v>
      </c>
      <c r="G1284" s="7" t="s">
        <v>1031</v>
      </c>
      <c r="H1284" s="7" t="s">
        <v>1031</v>
      </c>
      <c r="I1284" s="7" t="s">
        <v>1031</v>
      </c>
      <c r="J1284" t="str">
        <f>VLOOKUP(A:A,[1]Sayfa1!$G:$K,5,0)</f>
        <v>KİRAZLIK ÇAY MH. DEĞİRMENBAŞI CD. NO:10 ÇARSAMBA SAMSUN</v>
      </c>
      <c r="K1284" t="str">
        <f>VLOOKUP(A:A,[1]Sayfa1!$G:$M,7,0)</f>
        <v>SAMSUN</v>
      </c>
      <c r="L1284" t="str">
        <f>VLOOKUP(A:A,[1]Sayfa1!$G:$L,6,0)</f>
        <v>ÇARSAMBA</v>
      </c>
      <c r="M1284" s="3">
        <v>1</v>
      </c>
      <c r="N1284" s="3">
        <v>1</v>
      </c>
      <c r="O1284" s="10">
        <v>0</v>
      </c>
      <c r="P1284" s="3">
        <v>0</v>
      </c>
    </row>
    <row r="1285" spans="1:16" x14ac:dyDescent="0.3">
      <c r="A1285" s="6" t="s">
        <v>4247</v>
      </c>
      <c r="B1285" s="6" t="s">
        <v>4248</v>
      </c>
      <c r="C1285" s="2" t="s">
        <v>18</v>
      </c>
      <c r="D1285" s="6">
        <v>40.989691000000001</v>
      </c>
      <c r="E1285" s="6">
        <v>36.6323632</v>
      </c>
      <c r="G1285" s="7" t="s">
        <v>1031</v>
      </c>
      <c r="H1285" s="7" t="s">
        <v>1031</v>
      </c>
      <c r="I1285" s="7" t="s">
        <v>1031</v>
      </c>
      <c r="J1285" t="str">
        <f>VLOOKUP(A:A,[1]Sayfa1!$G:$K,5,0)</f>
        <v>ORHANGAZİ MH. RECEP TAYYİP ERDOĞAN SK. NO:2/Z   AYVACIK SAMSUN</v>
      </c>
      <c r="K1285" t="str">
        <f>VLOOKUP(A:A,[1]Sayfa1!$G:$M,7,0)</f>
        <v>SAMSUN</v>
      </c>
      <c r="L1285" t="str">
        <f>VLOOKUP(A:A,[1]Sayfa1!$G:$L,6,0)</f>
        <v>AYVACIK</v>
      </c>
      <c r="M1285" s="3">
        <v>1</v>
      </c>
      <c r="N1285" s="3">
        <v>1</v>
      </c>
      <c r="O1285" s="10">
        <v>0</v>
      </c>
      <c r="P1285" s="3">
        <v>0</v>
      </c>
    </row>
    <row r="1286" spans="1:16" x14ac:dyDescent="0.3">
      <c r="A1286" s="6" t="s">
        <v>4249</v>
      </c>
      <c r="B1286" s="6" t="s">
        <v>4250</v>
      </c>
      <c r="C1286" s="2" t="s">
        <v>18</v>
      </c>
      <c r="D1286" s="6">
        <v>41.194349799999998</v>
      </c>
      <c r="E1286" s="6">
        <v>36.7279865</v>
      </c>
      <c r="G1286" s="7" t="s">
        <v>1031</v>
      </c>
      <c r="H1286" s="7" t="s">
        <v>1031</v>
      </c>
      <c r="I1286" s="7" t="s">
        <v>1031</v>
      </c>
      <c r="J1286" t="str">
        <f>VLOOKUP(A:A,[1]Sayfa1!$G:$K,5,0)</f>
        <v>ÇAY MH. SÜLEYMAN PAŞA CD. YEŞİLADA APT. NO:12/14-AA-AB ÇARSAMBA SAMSUN</v>
      </c>
      <c r="K1286" t="str">
        <f>VLOOKUP(A:A,[1]Sayfa1!$G:$M,7,0)</f>
        <v>SAMSUN</v>
      </c>
      <c r="L1286" t="str">
        <f>VLOOKUP(A:A,[1]Sayfa1!$G:$L,6,0)</f>
        <v>ÇARSAMBA</v>
      </c>
      <c r="M1286" s="3">
        <v>1</v>
      </c>
      <c r="N1286" s="3">
        <v>1</v>
      </c>
      <c r="O1286" s="10">
        <v>0</v>
      </c>
      <c r="P1286" s="3">
        <v>0</v>
      </c>
    </row>
    <row r="1287" spans="1:16" x14ac:dyDescent="0.3">
      <c r="A1287" s="6" t="s">
        <v>4251</v>
      </c>
      <c r="B1287" s="6" t="s">
        <v>4252</v>
      </c>
      <c r="C1287" s="2" t="s">
        <v>18</v>
      </c>
      <c r="D1287" s="6">
        <v>41.205815100000002</v>
      </c>
      <c r="E1287" s="6">
        <v>36.694265299999998</v>
      </c>
      <c r="G1287" s="7" t="s">
        <v>1031</v>
      </c>
      <c r="H1287" s="7" t="s">
        <v>1031</v>
      </c>
      <c r="I1287" s="7" t="s">
        <v>1031</v>
      </c>
      <c r="J1287" t="str">
        <f>VLOOKUP(A:A,[1]Sayfa1!$G:$K,5,0)</f>
        <v>SARICALI MH. YUNUS EMRE CD. NO:257/A ÇARSAMBA SAMSUN</v>
      </c>
      <c r="K1287" t="str">
        <f>VLOOKUP(A:A,[1]Sayfa1!$G:$M,7,0)</f>
        <v>SAMSUN</v>
      </c>
      <c r="L1287" t="str">
        <f>VLOOKUP(A:A,[1]Sayfa1!$G:$L,6,0)</f>
        <v>ÇARSAMBA</v>
      </c>
      <c r="M1287" s="3">
        <v>1</v>
      </c>
      <c r="N1287" s="3">
        <v>1</v>
      </c>
      <c r="O1287" s="10">
        <v>0</v>
      </c>
      <c r="P1287" s="3">
        <v>0</v>
      </c>
    </row>
    <row r="1288" spans="1:16" x14ac:dyDescent="0.3">
      <c r="A1288" s="6" t="s">
        <v>4253</v>
      </c>
      <c r="B1288" s="6" t="s">
        <v>4254</v>
      </c>
      <c r="C1288" s="2" t="s">
        <v>18</v>
      </c>
      <c r="D1288" s="6">
        <v>41.198796199999997</v>
      </c>
      <c r="E1288" s="6">
        <v>36.711779200000002</v>
      </c>
      <c r="G1288" s="7" t="s">
        <v>1031</v>
      </c>
      <c r="H1288" s="7" t="s">
        <v>1031</v>
      </c>
      <c r="I1288" s="7" t="s">
        <v>1031</v>
      </c>
      <c r="J1288" t="str">
        <f>VLOOKUP(A:A,[1]Sayfa1!$G:$K,5,0)</f>
        <v>SARICALI MAH. YUNUS EMRE CAD. NO:160 A-B ADRES KODU: 5400391255-5225702116 ÇARSAMBA SAMSUN</v>
      </c>
      <c r="K1288" t="str">
        <f>VLOOKUP(A:A,[1]Sayfa1!$G:$M,7,0)</f>
        <v>SAMSUN</v>
      </c>
      <c r="L1288" t="str">
        <f>VLOOKUP(A:A,[1]Sayfa1!$G:$L,6,0)</f>
        <v>ÇARSAMBA</v>
      </c>
      <c r="M1288" s="3">
        <v>1</v>
      </c>
      <c r="N1288" s="3">
        <v>1</v>
      </c>
      <c r="O1288" s="10">
        <v>0</v>
      </c>
      <c r="P1288" s="3">
        <v>0</v>
      </c>
    </row>
    <row r="1289" spans="1:16" x14ac:dyDescent="0.3">
      <c r="A1289" s="6" t="s">
        <v>4255</v>
      </c>
      <c r="B1289" s="6" t="s">
        <v>4256</v>
      </c>
      <c r="C1289" s="2" t="s">
        <v>18</v>
      </c>
      <c r="D1289" s="6">
        <v>41.204773400000001</v>
      </c>
      <c r="E1289" s="6">
        <v>36.722245100000002</v>
      </c>
      <c r="G1289" s="7" t="s">
        <v>1031</v>
      </c>
      <c r="H1289" s="7" t="s">
        <v>1031</v>
      </c>
      <c r="I1289" s="7" t="s">
        <v>1031</v>
      </c>
      <c r="J1289" t="str">
        <f>VLOOKUP(A:A,[1]Sayfa1!$G:$K,5,0)</f>
        <v>YEŞİLIRMAK MAH. SUNGURLU CAD. NO:59/A ADRES KODU : 1749452718 ÇARSAMBA SAMSUN</v>
      </c>
      <c r="K1289" t="str">
        <f>VLOOKUP(A:A,[1]Sayfa1!$G:$M,7,0)</f>
        <v>SAMSUN</v>
      </c>
      <c r="L1289" t="str">
        <f>VLOOKUP(A:A,[1]Sayfa1!$G:$L,6,0)</f>
        <v>ÇARSAMBA</v>
      </c>
      <c r="M1289" s="3">
        <v>1</v>
      </c>
      <c r="N1289" s="3">
        <v>1</v>
      </c>
      <c r="O1289" s="10">
        <v>0</v>
      </c>
      <c r="P1289" s="3">
        <v>0</v>
      </c>
    </row>
    <row r="1290" spans="1:16" x14ac:dyDescent="0.3">
      <c r="A1290" s="6" t="s">
        <v>4257</v>
      </c>
      <c r="B1290" s="6" t="s">
        <v>4258</v>
      </c>
      <c r="C1290" s="2" t="s">
        <v>18</v>
      </c>
      <c r="D1290" s="6">
        <v>41.216182600000003</v>
      </c>
      <c r="E1290" s="6">
        <v>36.613367599999997</v>
      </c>
      <c r="G1290" s="7" t="s">
        <v>1031</v>
      </c>
      <c r="H1290" s="7" t="s">
        <v>1031</v>
      </c>
      <c r="I1290" s="7" t="s">
        <v>1031</v>
      </c>
      <c r="J1290" t="str">
        <f>VLOOKUP(A:A,[1]Sayfa1!$G:$K,5,0)</f>
        <v>DİKBIYIK MERKEZ MAH. LİSE CAD. NO:28/D  ÇARSAMBA SAMSUN</v>
      </c>
      <c r="K1290" t="str">
        <f>VLOOKUP(A:A,[1]Sayfa1!$G:$M,7,0)</f>
        <v>SAMSUN</v>
      </c>
      <c r="L1290" t="str">
        <f>VLOOKUP(A:A,[1]Sayfa1!$G:$L,6,0)</f>
        <v>ÇARSAMBA</v>
      </c>
      <c r="M1290" s="3">
        <v>1</v>
      </c>
      <c r="N1290" s="3">
        <v>1</v>
      </c>
      <c r="O1290" s="10">
        <v>0</v>
      </c>
      <c r="P1290" s="3">
        <v>0</v>
      </c>
    </row>
    <row r="1291" spans="1:16" x14ac:dyDescent="0.3">
      <c r="A1291" s="6" t="s">
        <v>4259</v>
      </c>
      <c r="B1291" s="6" t="s">
        <v>4260</v>
      </c>
      <c r="C1291" s="2" t="s">
        <v>18</v>
      </c>
      <c r="D1291" s="6">
        <v>41.197546699999997</v>
      </c>
      <c r="E1291" s="6">
        <v>36.7188078</v>
      </c>
      <c r="G1291" s="7" t="s">
        <v>1031</v>
      </c>
      <c r="H1291" s="7" t="s">
        <v>1031</v>
      </c>
      <c r="I1291" s="7" t="s">
        <v>1031</v>
      </c>
      <c r="J1291" t="str">
        <f>VLOOKUP(A:A,[1]Sayfa1!$G:$K,5,0)</f>
        <v>SARICALI MAH. HASANLI CAD. NO:4A  ÇARSAMBA SAMSUN</v>
      </c>
      <c r="K1291" t="str">
        <f>VLOOKUP(A:A,[1]Sayfa1!$G:$M,7,0)</f>
        <v>SAMSUN</v>
      </c>
      <c r="L1291" t="str">
        <f>VLOOKUP(A:A,[1]Sayfa1!$G:$L,6,0)</f>
        <v>ÇARSAMBA</v>
      </c>
      <c r="M1291" s="3">
        <v>1</v>
      </c>
      <c r="N1291" s="3">
        <v>1</v>
      </c>
      <c r="O1291" s="10">
        <v>0</v>
      </c>
      <c r="P1291" s="3">
        <v>0</v>
      </c>
    </row>
    <row r="1292" spans="1:16" x14ac:dyDescent="0.3">
      <c r="A1292" s="6" t="s">
        <v>4261</v>
      </c>
      <c r="B1292" s="6" t="s">
        <v>4262</v>
      </c>
      <c r="C1292" s="2" t="s">
        <v>18</v>
      </c>
      <c r="D1292" s="6">
        <v>41.185031700000003</v>
      </c>
      <c r="E1292" s="6">
        <v>36.720023300000001</v>
      </c>
      <c r="G1292" s="7" t="s">
        <v>1031</v>
      </c>
      <c r="H1292" s="7" t="s">
        <v>1031</v>
      </c>
      <c r="I1292" s="7" t="s">
        <v>1031</v>
      </c>
      <c r="J1292" t="str">
        <f>VLOOKUP(A:A,[1]Sayfa1!$G:$K,5,0)</f>
        <v>ÇAY MAH. ŞEHİT UZMAN ONBAŞI RAMAZAN TAŞKIN CD..NO:1A ÇARSAMBA SAMSUN</v>
      </c>
      <c r="K1292" t="str">
        <f>VLOOKUP(A:A,[1]Sayfa1!$G:$M,7,0)</f>
        <v>SAMSUN</v>
      </c>
      <c r="L1292" t="str">
        <f>VLOOKUP(A:A,[1]Sayfa1!$G:$L,6,0)</f>
        <v>ÇARSAMBA</v>
      </c>
      <c r="M1292" s="3">
        <v>1</v>
      </c>
      <c r="N1292" s="3">
        <v>1</v>
      </c>
      <c r="O1292" s="10">
        <v>0</v>
      </c>
      <c r="P1292" s="3">
        <v>0</v>
      </c>
    </row>
    <row r="1293" spans="1:16" x14ac:dyDescent="0.3">
      <c r="A1293" s="6" t="s">
        <v>4263</v>
      </c>
      <c r="B1293" s="6" t="s">
        <v>4264</v>
      </c>
      <c r="C1293" s="2" t="s">
        <v>18</v>
      </c>
      <c r="D1293" s="6">
        <v>41.195730900000001</v>
      </c>
      <c r="E1293" s="6">
        <v>36.712902499999998</v>
      </c>
      <c r="G1293" s="7" t="s">
        <v>1031</v>
      </c>
      <c r="H1293" s="7" t="s">
        <v>1031</v>
      </c>
      <c r="I1293" s="7" t="s">
        <v>1031</v>
      </c>
      <c r="J1293" t="str">
        <f>VLOOKUP(A:A,[1]Sayfa1!$G:$K,5,0)</f>
        <v>GAZİ MAH. HASANLI CAD. NO:99  ÇARSAMBA SAMSUN</v>
      </c>
      <c r="K1293" t="str">
        <f>VLOOKUP(A:A,[1]Sayfa1!$G:$M,7,0)</f>
        <v>SAMSUN</v>
      </c>
      <c r="L1293" t="str">
        <f>VLOOKUP(A:A,[1]Sayfa1!$G:$L,6,0)</f>
        <v>ÇARSAMBA</v>
      </c>
      <c r="M1293" s="3">
        <v>1</v>
      </c>
      <c r="N1293" s="3">
        <v>1</v>
      </c>
      <c r="O1293" s="10">
        <v>0</v>
      </c>
      <c r="P1293" s="3">
        <v>0</v>
      </c>
    </row>
    <row r="1294" spans="1:16" x14ac:dyDescent="0.3">
      <c r="A1294" s="6" t="s">
        <v>4265</v>
      </c>
      <c r="B1294" s="6" t="s">
        <v>4266</v>
      </c>
      <c r="C1294" s="2" t="s">
        <v>18</v>
      </c>
      <c r="D1294" s="6">
        <v>41.199074899999999</v>
      </c>
      <c r="E1294" s="6">
        <v>36.718549400000001</v>
      </c>
      <c r="G1294" s="7" t="s">
        <v>1031</v>
      </c>
      <c r="H1294" s="7" t="s">
        <v>1031</v>
      </c>
      <c r="I1294" s="7" t="s">
        <v>1031</v>
      </c>
      <c r="J1294" t="str">
        <f>VLOOKUP(A:A,[1]Sayfa1!$G:$K,5,0)</f>
        <v>SARICALI MAH. MUSA PAŞA SOK. NO:3A  ÇARSAMBA SAMSUN</v>
      </c>
      <c r="K1294" t="str">
        <f>VLOOKUP(A:A,[1]Sayfa1!$G:$M,7,0)</f>
        <v>SAMSUN</v>
      </c>
      <c r="L1294" t="str">
        <f>VLOOKUP(A:A,[1]Sayfa1!$G:$L,6,0)</f>
        <v>ÇARSAMBA</v>
      </c>
      <c r="M1294" s="3">
        <v>1</v>
      </c>
      <c r="N1294" s="3">
        <v>1</v>
      </c>
      <c r="O1294" s="10">
        <v>0</v>
      </c>
      <c r="P1294" s="3">
        <v>0</v>
      </c>
    </row>
    <row r="1295" spans="1:16" x14ac:dyDescent="0.3">
      <c r="A1295" s="6" t="s">
        <v>4267</v>
      </c>
      <c r="B1295" s="6" t="s">
        <v>4268</v>
      </c>
      <c r="C1295" s="2" t="s">
        <v>18</v>
      </c>
      <c r="D1295" s="6">
        <v>41.082645200000002</v>
      </c>
      <c r="E1295" s="6">
        <v>36.8240701</v>
      </c>
      <c r="G1295" s="7" t="s">
        <v>1031</v>
      </c>
      <c r="H1295" s="7" t="s">
        <v>1031</v>
      </c>
      <c r="I1295" s="7" t="s">
        <v>1031</v>
      </c>
      <c r="J1295" t="str">
        <f>VLOOKUP(A:A,[1]Sayfa1!$G:$K,5,0)</f>
        <v>BEREKET MAH. ÇARŞAMBA CAD. NO: 27A-27B SALIPAZARI SAMSUN</v>
      </c>
      <c r="K1295" t="str">
        <f>VLOOKUP(A:A,[1]Sayfa1!$G:$M,7,0)</f>
        <v>SAMSUN</v>
      </c>
      <c r="L1295" t="str">
        <f>VLOOKUP(A:A,[1]Sayfa1!$G:$L,6,0)</f>
        <v>SALIPAZARI</v>
      </c>
      <c r="M1295" s="3">
        <v>1</v>
      </c>
      <c r="N1295" s="3">
        <v>1</v>
      </c>
      <c r="O1295" s="10">
        <v>0</v>
      </c>
      <c r="P1295" s="3">
        <v>0</v>
      </c>
    </row>
    <row r="1296" spans="1:16" x14ac:dyDescent="0.3">
      <c r="A1296" s="6" t="s">
        <v>4269</v>
      </c>
      <c r="B1296" s="6" t="s">
        <v>4270</v>
      </c>
      <c r="C1296" s="2" t="s">
        <v>18</v>
      </c>
      <c r="D1296" s="6">
        <v>41.199357599999999</v>
      </c>
      <c r="E1296" s="6">
        <v>36.731759699999998</v>
      </c>
      <c r="G1296" s="7" t="s">
        <v>1031</v>
      </c>
      <c r="H1296" s="7" t="s">
        <v>1031</v>
      </c>
      <c r="I1296" s="7" t="s">
        <v>1031</v>
      </c>
      <c r="J1296" t="str">
        <f>VLOOKUP(A:A,[1]Sayfa1!$G:$K,5,0)</f>
        <v>ORTA MAH TUNCAY KOCABAŞ SOK. NO:40/B ÇARSAMBA SAMSUN</v>
      </c>
      <c r="K1296" t="str">
        <f>VLOOKUP(A:A,[1]Sayfa1!$G:$M,7,0)</f>
        <v>SAMSUN</v>
      </c>
      <c r="L1296" t="str">
        <f>VLOOKUP(A:A,[1]Sayfa1!$G:$L,6,0)</f>
        <v>ÇARSAMBA</v>
      </c>
      <c r="M1296" s="3">
        <v>1</v>
      </c>
      <c r="N1296" s="3">
        <v>1</v>
      </c>
      <c r="O1296" s="10">
        <v>0</v>
      </c>
      <c r="P1296" s="3">
        <v>0</v>
      </c>
    </row>
    <row r="1297" spans="1:16" x14ac:dyDescent="0.3">
      <c r="A1297" s="6" t="s">
        <v>4271</v>
      </c>
      <c r="B1297" s="6" t="s">
        <v>4272</v>
      </c>
      <c r="C1297" s="2" t="s">
        <v>18</v>
      </c>
      <c r="D1297" s="6">
        <v>41.203184</v>
      </c>
      <c r="E1297" s="6">
        <v>36.700205400000002</v>
      </c>
      <c r="G1297" s="7" t="s">
        <v>1031</v>
      </c>
      <c r="H1297" s="7" t="s">
        <v>1031</v>
      </c>
      <c r="I1297" s="7" t="s">
        <v>1031</v>
      </c>
      <c r="J1297" t="str">
        <f>VLOOKUP(A:A,[1]Sayfa1!$G:$K,5,0)</f>
        <v>SARICALI MAH BARAJ YOLU CAD. NO:35A ÇARSAMBA SAMSUN</v>
      </c>
      <c r="K1297" t="str">
        <f>VLOOKUP(A:A,[1]Sayfa1!$G:$M,7,0)</f>
        <v>SAMSUN</v>
      </c>
      <c r="L1297" t="str">
        <f>VLOOKUP(A:A,[1]Sayfa1!$G:$L,6,0)</f>
        <v>ÇARSAMBA</v>
      </c>
      <c r="M1297" s="3">
        <v>1</v>
      </c>
      <c r="N1297" s="3">
        <v>1</v>
      </c>
      <c r="O1297" s="10">
        <v>0</v>
      </c>
      <c r="P1297" s="3">
        <v>0</v>
      </c>
    </row>
    <row r="1298" spans="1:16" x14ac:dyDescent="0.3">
      <c r="A1298" s="6" t="s">
        <v>4273</v>
      </c>
      <c r="B1298" s="6" t="s">
        <v>4274</v>
      </c>
      <c r="C1298" s="2" t="s">
        <v>18</v>
      </c>
      <c r="D1298" s="6">
        <v>41.184051199999999</v>
      </c>
      <c r="E1298" s="6">
        <v>36.693464300000002</v>
      </c>
      <c r="G1298" s="7" t="s">
        <v>1031</v>
      </c>
      <c r="H1298" s="7" t="s">
        <v>1031</v>
      </c>
      <c r="I1298" s="7" t="s">
        <v>1031</v>
      </c>
      <c r="J1298" t="str">
        <f>VLOOKUP(A:A,[1]Sayfa1!$G:$K,5,0)</f>
        <v>ÜÇKÖPRÜ MAH YEŞİLBAĞ SK. NO:46/A ÇARSAMBA SAMSUN</v>
      </c>
      <c r="K1298" t="str">
        <f>VLOOKUP(A:A,[1]Sayfa1!$G:$M,7,0)</f>
        <v>SAMSUN</v>
      </c>
      <c r="L1298" t="str">
        <f>VLOOKUP(A:A,[1]Sayfa1!$G:$L,6,0)</f>
        <v>ÇARSAMBA</v>
      </c>
      <c r="M1298" s="3">
        <v>1</v>
      </c>
      <c r="N1298" s="3">
        <v>1</v>
      </c>
      <c r="O1298" s="10">
        <v>0</v>
      </c>
      <c r="P1298" s="3">
        <v>0</v>
      </c>
    </row>
    <row r="1299" spans="1:16" x14ac:dyDescent="0.3">
      <c r="A1299" s="6" t="s">
        <v>4275</v>
      </c>
      <c r="B1299" s="6" t="s">
        <v>4276</v>
      </c>
      <c r="C1299" s="2" t="s">
        <v>18</v>
      </c>
      <c r="D1299" s="6">
        <v>41.1245525</v>
      </c>
      <c r="E1299" s="6">
        <v>36.613780400000003</v>
      </c>
      <c r="G1299" s="7" t="s">
        <v>1031</v>
      </c>
      <c r="H1299" s="7" t="s">
        <v>1031</v>
      </c>
      <c r="I1299" s="7" t="s">
        <v>1031</v>
      </c>
      <c r="J1299" t="str">
        <f>VLOOKUP(A:A,[1]Sayfa1!$G:$K,5,0)</f>
        <v>YUKARI AĞCAGÜNEY MAH ATATÜRK BULV. NO:20A/B/C/D/E ÇARSAMBA SAMSUN</v>
      </c>
      <c r="K1299" t="str">
        <f>VLOOKUP(A:A,[1]Sayfa1!$G:$M,7,0)</f>
        <v>SAMSUN</v>
      </c>
      <c r="L1299" t="str">
        <f>VLOOKUP(A:A,[1]Sayfa1!$G:$L,6,0)</f>
        <v>ÇARSAMBA</v>
      </c>
      <c r="M1299" s="3">
        <v>1</v>
      </c>
      <c r="N1299" s="3">
        <v>1</v>
      </c>
      <c r="O1299" s="10">
        <v>0</v>
      </c>
      <c r="P1299" s="3">
        <v>0</v>
      </c>
    </row>
    <row r="1300" spans="1:16" x14ac:dyDescent="0.3">
      <c r="A1300" s="6" t="s">
        <v>4277</v>
      </c>
      <c r="B1300" s="6" t="s">
        <v>4278</v>
      </c>
      <c r="C1300" s="2" t="s">
        <v>18</v>
      </c>
      <c r="D1300" s="6">
        <v>41.203983000000001</v>
      </c>
      <c r="E1300" s="6">
        <v>36.730760799999999</v>
      </c>
      <c r="G1300" s="7" t="s">
        <v>1031</v>
      </c>
      <c r="H1300" s="7" t="s">
        <v>1031</v>
      </c>
      <c r="I1300" s="7" t="s">
        <v>1031</v>
      </c>
      <c r="J1300" t="str">
        <f>VLOOKUP(A:A,[1]Sayfa1!$G:$K,5,0)</f>
        <v>ORTA MAH BAYRAK SOK. NO:7/A-B - 9/A-B-C ÇARSAMBA SAMSUN</v>
      </c>
      <c r="K1300" t="str">
        <f>VLOOKUP(A:A,[1]Sayfa1!$G:$M,7,0)</f>
        <v>SAMSUN</v>
      </c>
      <c r="L1300" t="str">
        <f>VLOOKUP(A:A,[1]Sayfa1!$G:$L,6,0)</f>
        <v>ÇARSAMBA</v>
      </c>
      <c r="M1300" s="3">
        <v>1</v>
      </c>
      <c r="N1300" s="3">
        <v>1</v>
      </c>
      <c r="O1300" s="10">
        <v>0</v>
      </c>
      <c r="P1300" s="3">
        <v>0</v>
      </c>
    </row>
    <row r="1301" spans="1:16" x14ac:dyDescent="0.3">
      <c r="A1301" s="6" t="s">
        <v>4279</v>
      </c>
      <c r="B1301" s="6" t="s">
        <v>4280</v>
      </c>
      <c r="C1301" s="2" t="s">
        <v>18</v>
      </c>
      <c r="D1301" s="6">
        <v>41.202141699999999</v>
      </c>
      <c r="E1301" s="6">
        <v>36.735210000000002</v>
      </c>
      <c r="G1301" s="7" t="s">
        <v>1031</v>
      </c>
      <c r="H1301" s="7" t="s">
        <v>1031</v>
      </c>
      <c r="I1301" s="7" t="s">
        <v>1031</v>
      </c>
      <c r="J1301" t="str">
        <f>VLOOKUP(A:A,[1]Sayfa1!$G:$K,5,0)</f>
        <v>HASBAHÇE MAH 254 SOK. NO:6A ÇARSAMBA SAMSUN</v>
      </c>
      <c r="K1301" t="str">
        <f>VLOOKUP(A:A,[1]Sayfa1!$G:$M,7,0)</f>
        <v>SAMSUN</v>
      </c>
      <c r="L1301" t="str">
        <f>VLOOKUP(A:A,[1]Sayfa1!$G:$L,6,0)</f>
        <v>ÇARSAMBA</v>
      </c>
      <c r="M1301" s="3">
        <v>1</v>
      </c>
      <c r="N1301" s="3">
        <v>1</v>
      </c>
      <c r="O1301" s="10">
        <v>0</v>
      </c>
      <c r="P1301" s="3">
        <v>0</v>
      </c>
    </row>
    <row r="1302" spans="1:16" x14ac:dyDescent="0.3">
      <c r="A1302" s="6" t="s">
        <v>4281</v>
      </c>
      <c r="B1302" s="6" t="s">
        <v>4282</v>
      </c>
      <c r="C1302" s="2" t="s">
        <v>18</v>
      </c>
      <c r="D1302" s="6">
        <v>0</v>
      </c>
      <c r="E1302" s="6">
        <v>0</v>
      </c>
      <c r="G1302" s="7" t="s">
        <v>1031</v>
      </c>
      <c r="H1302" s="7" t="s">
        <v>1031</v>
      </c>
      <c r="I1302" s="7" t="s">
        <v>1031</v>
      </c>
      <c r="J1302" t="str">
        <f>VLOOKUP(A:A,[1]Sayfa1!$G:$K,5,0)</f>
        <v>ALLI MAH ARIM SOK. NO:18A ÇARSAMBA SAMSUN</v>
      </c>
      <c r="K1302" t="str">
        <f>VLOOKUP(A:A,[1]Sayfa1!$G:$M,7,0)</f>
        <v>SAMSUN</v>
      </c>
      <c r="L1302" t="str">
        <f>VLOOKUP(A:A,[1]Sayfa1!$G:$L,6,0)</f>
        <v>ÇARSAMBA</v>
      </c>
      <c r="M1302" s="3">
        <v>1</v>
      </c>
      <c r="N1302" s="3">
        <v>1</v>
      </c>
      <c r="O1302" s="10">
        <v>0</v>
      </c>
      <c r="P1302" s="3">
        <v>0</v>
      </c>
    </row>
    <row r="1303" spans="1:16" x14ac:dyDescent="0.3">
      <c r="A1303" s="6" t="s">
        <v>4283</v>
      </c>
      <c r="B1303" s="6" t="s">
        <v>4284</v>
      </c>
      <c r="C1303" s="2" t="s">
        <v>18</v>
      </c>
      <c r="D1303" s="6">
        <v>41.335323616300002</v>
      </c>
      <c r="E1303" s="6">
        <v>36.268748797400001</v>
      </c>
      <c r="G1303" s="7" t="s">
        <v>1031</v>
      </c>
      <c r="H1303" s="7" t="s">
        <v>1031</v>
      </c>
      <c r="I1303" s="7" t="s">
        <v>1031</v>
      </c>
      <c r="J1303" t="str">
        <f>VLOOKUP(A:A,[1]Sayfa1!$G:$K,5,0)</f>
        <v>CUMHURIYET MAH 23. SOK. NO:12 ATAKUM SAMSUN</v>
      </c>
      <c r="K1303" t="str">
        <f>VLOOKUP(A:A,[1]Sayfa1!$G:$M,7,0)</f>
        <v>SAMSUN</v>
      </c>
      <c r="L1303" t="str">
        <f>VLOOKUP(A:A,[1]Sayfa1!$G:$L,6,0)</f>
        <v>ATAKUM</v>
      </c>
      <c r="M1303" s="3">
        <v>1</v>
      </c>
      <c r="N1303" s="3">
        <v>1</v>
      </c>
      <c r="O1303" s="10">
        <v>0</v>
      </c>
      <c r="P1303" s="3">
        <v>0</v>
      </c>
    </row>
    <row r="1304" spans="1:16" x14ac:dyDescent="0.3">
      <c r="A1304" s="6" t="s">
        <v>4285</v>
      </c>
      <c r="B1304" s="6" t="s">
        <v>4286</v>
      </c>
      <c r="C1304" s="2" t="s">
        <v>18</v>
      </c>
      <c r="D1304" s="6">
        <v>41.332563984399997</v>
      </c>
      <c r="E1304" s="6">
        <v>36.278383415900002</v>
      </c>
      <c r="G1304" s="7" t="s">
        <v>1031</v>
      </c>
      <c r="H1304" s="7" t="s">
        <v>1031</v>
      </c>
      <c r="I1304" s="7" t="s">
        <v>1031</v>
      </c>
      <c r="J1304" t="str">
        <f>VLOOKUP(A:A,[1]Sayfa1!$G:$K,5,0)</f>
        <v>MiMAR SiNAN MAH. 147. SK. NO:3 ATAKUM SAMSUN</v>
      </c>
      <c r="K1304" t="str">
        <f>VLOOKUP(A:A,[1]Sayfa1!$G:$M,7,0)</f>
        <v>SAMSUN</v>
      </c>
      <c r="L1304" t="str">
        <f>VLOOKUP(A:A,[1]Sayfa1!$G:$L,6,0)</f>
        <v>ATAKUM</v>
      </c>
      <c r="M1304" s="3">
        <v>1</v>
      </c>
      <c r="N1304" s="3">
        <v>1</v>
      </c>
      <c r="O1304" s="10">
        <v>0</v>
      </c>
      <c r="P1304" s="3">
        <v>0</v>
      </c>
    </row>
    <row r="1305" spans="1:16" x14ac:dyDescent="0.3">
      <c r="A1305" s="6" t="s">
        <v>4287</v>
      </c>
      <c r="B1305" s="6" t="s">
        <v>4288</v>
      </c>
      <c r="C1305" s="2" t="s">
        <v>18</v>
      </c>
      <c r="D1305" s="6">
        <v>41.322004768399999</v>
      </c>
      <c r="E1305" s="6">
        <v>36.298694300699999</v>
      </c>
      <c r="G1305" s="7" t="s">
        <v>1031</v>
      </c>
      <c r="H1305" s="7" t="s">
        <v>1031</v>
      </c>
      <c r="I1305" s="7" t="s">
        <v>1031</v>
      </c>
      <c r="J1305" t="str">
        <f>VLOOKUP(A:A,[1]Sayfa1!$G:$K,5,0)</f>
        <v>ESENEVLER MAH. SEHİT ÜNAL CD. NO:41 ATAKUM SAMSUN</v>
      </c>
      <c r="K1305" t="str">
        <f>VLOOKUP(A:A,[1]Sayfa1!$G:$M,7,0)</f>
        <v>SAMSUN</v>
      </c>
      <c r="L1305" t="str">
        <f>VLOOKUP(A:A,[1]Sayfa1!$G:$L,6,0)</f>
        <v>ATAKUM</v>
      </c>
      <c r="M1305" s="3">
        <v>1</v>
      </c>
      <c r="N1305" s="3">
        <v>1</v>
      </c>
      <c r="O1305" s="10">
        <v>0</v>
      </c>
      <c r="P1305" s="3">
        <v>0</v>
      </c>
    </row>
    <row r="1306" spans="1:16" x14ac:dyDescent="0.3">
      <c r="A1306" s="6" t="s">
        <v>4289</v>
      </c>
      <c r="B1306" s="6" t="s">
        <v>4290</v>
      </c>
      <c r="C1306" s="2" t="s">
        <v>18</v>
      </c>
      <c r="D1306" s="6">
        <v>41.329174385000002</v>
      </c>
      <c r="E1306" s="6">
        <v>36.294049923800003</v>
      </c>
      <c r="G1306" s="7" t="s">
        <v>1031</v>
      </c>
      <c r="H1306" s="7" t="s">
        <v>1031</v>
      </c>
      <c r="I1306" s="7" t="s">
        <v>1031</v>
      </c>
      <c r="J1306" t="str">
        <f>VLOOKUP(A:A,[1]Sayfa1!$G:$K,5,0)</f>
        <v>ESENEVLER MAH. ATATÜRK BUL. NO:135 / (MERKEZ) ATAKUM SAMSUN</v>
      </c>
      <c r="K1306" t="str">
        <f>VLOOKUP(A:A,[1]Sayfa1!$G:$M,7,0)</f>
        <v>SAMSUN</v>
      </c>
      <c r="L1306" t="str">
        <f>VLOOKUP(A:A,[1]Sayfa1!$G:$L,6,0)</f>
        <v>ATAKUM</v>
      </c>
      <c r="M1306" s="3">
        <v>1</v>
      </c>
      <c r="N1306" s="3">
        <v>1</v>
      </c>
      <c r="O1306" s="10">
        <v>0</v>
      </c>
      <c r="P1306" s="3">
        <v>0</v>
      </c>
    </row>
    <row r="1307" spans="1:16" x14ac:dyDescent="0.3">
      <c r="A1307" s="6" t="s">
        <v>4291</v>
      </c>
      <c r="B1307" s="6" t="s">
        <v>4292</v>
      </c>
      <c r="C1307" s="2" t="s">
        <v>18</v>
      </c>
      <c r="D1307" s="6">
        <v>41.336326100000001</v>
      </c>
      <c r="E1307" s="6">
        <v>36.252553200000001</v>
      </c>
      <c r="G1307" s="7" t="s">
        <v>1031</v>
      </c>
      <c r="H1307" s="7" t="s">
        <v>1031</v>
      </c>
      <c r="I1307" s="7" t="s">
        <v>1031</v>
      </c>
      <c r="J1307" t="str">
        <f>VLOOKUP(A:A,[1]Sayfa1!$G:$K,5,0)</f>
        <v>YENİ MH. ATAKENT BULV. NO:16 22/B ATAKUM SAMSUN</v>
      </c>
      <c r="K1307" t="str">
        <f>VLOOKUP(A:A,[1]Sayfa1!$G:$M,7,0)</f>
        <v>SAMSUN</v>
      </c>
      <c r="L1307" t="str">
        <f>VLOOKUP(A:A,[1]Sayfa1!$G:$L,6,0)</f>
        <v>ATAKUM</v>
      </c>
      <c r="M1307" s="3">
        <v>1</v>
      </c>
      <c r="N1307" s="3">
        <v>1</v>
      </c>
      <c r="O1307" s="10">
        <v>0</v>
      </c>
      <c r="P1307" s="3">
        <v>0</v>
      </c>
    </row>
    <row r="1308" spans="1:16" x14ac:dyDescent="0.3">
      <c r="A1308" s="6" t="s">
        <v>4293</v>
      </c>
      <c r="B1308" s="6" t="s">
        <v>4294</v>
      </c>
      <c r="C1308" s="2" t="s">
        <v>18</v>
      </c>
      <c r="D1308" s="6">
        <v>41.310114079000002</v>
      </c>
      <c r="E1308" s="6">
        <v>36.3153166743</v>
      </c>
      <c r="G1308" s="7" t="s">
        <v>1031</v>
      </c>
      <c r="H1308" s="7" t="s">
        <v>1031</v>
      </c>
      <c r="I1308" s="7" t="s">
        <v>1031</v>
      </c>
      <c r="J1308" t="str">
        <f>VLOOKUP(A:A,[1]Sayfa1!$G:$K,5,0)</f>
        <v>KARASAMSUN MAH 617 SOK. NO:5/C ILKADIM SAMSUN</v>
      </c>
      <c r="K1308" t="str">
        <f>VLOOKUP(A:A,[1]Sayfa1!$G:$M,7,0)</f>
        <v>SAMSUN</v>
      </c>
      <c r="L1308" t="str">
        <f>VLOOKUP(A:A,[1]Sayfa1!$G:$L,6,0)</f>
        <v>ILKADIM</v>
      </c>
      <c r="M1308" s="3">
        <v>1</v>
      </c>
      <c r="N1308" s="3">
        <v>1</v>
      </c>
      <c r="O1308" s="10">
        <v>0</v>
      </c>
      <c r="P1308" s="3">
        <v>0</v>
      </c>
    </row>
    <row r="1309" spans="1:16" x14ac:dyDescent="0.3">
      <c r="A1309" s="6" t="s">
        <v>4295</v>
      </c>
      <c r="B1309" s="6" t="s">
        <v>4296</v>
      </c>
      <c r="C1309" s="2" t="s">
        <v>18</v>
      </c>
      <c r="D1309" s="6">
        <v>41.325162970500003</v>
      </c>
      <c r="E1309" s="6">
        <v>36.286368258300001</v>
      </c>
      <c r="G1309" s="7" t="s">
        <v>1031</v>
      </c>
      <c r="H1309" s="7" t="s">
        <v>1031</v>
      </c>
      <c r="I1309" s="7" t="s">
        <v>1031</v>
      </c>
      <c r="J1309" t="str">
        <f>VLOOKUP(A:A,[1]Sayfa1!$G:$K,5,0)</f>
        <v>ESENEVLER MAH CAĞALOĞLU CAD. NO:17/1 ATAKUM SAMSUN</v>
      </c>
      <c r="K1309" t="str">
        <f>VLOOKUP(A:A,[1]Sayfa1!$G:$M,7,0)</f>
        <v>SAMSUN</v>
      </c>
      <c r="L1309" t="str">
        <f>VLOOKUP(A:A,[1]Sayfa1!$G:$L,6,0)</f>
        <v>ATAKUM</v>
      </c>
      <c r="M1309" s="3">
        <v>1</v>
      </c>
      <c r="N1309" s="3">
        <v>1</v>
      </c>
      <c r="O1309" s="10">
        <v>0</v>
      </c>
      <c r="P1309" s="3">
        <v>0</v>
      </c>
    </row>
    <row r="1310" spans="1:16" x14ac:dyDescent="0.3">
      <c r="A1310" s="6" t="s">
        <v>4297</v>
      </c>
      <c r="B1310" s="6" t="s">
        <v>4298</v>
      </c>
      <c r="C1310" s="2" t="s">
        <v>18</v>
      </c>
      <c r="D1310" s="6">
        <v>41.342592699999997</v>
      </c>
      <c r="E1310" s="6">
        <v>36.242084300000002</v>
      </c>
      <c r="G1310" s="7" t="s">
        <v>1031</v>
      </c>
      <c r="H1310" s="7" t="s">
        <v>1031</v>
      </c>
      <c r="I1310" s="7" t="s">
        <v>1031</v>
      </c>
      <c r="J1310" t="str">
        <f>VLOOKUP(A:A,[1]Sayfa1!$G:$K,5,0)</f>
        <v>YENİMAHALLE MAH. ATAKENT BULVARI BUL. NO:94-96/1 ATAKUM SAMSUN</v>
      </c>
      <c r="K1310" t="str">
        <f>VLOOKUP(A:A,[1]Sayfa1!$G:$M,7,0)</f>
        <v>SAMSUN</v>
      </c>
      <c r="L1310" t="str">
        <f>VLOOKUP(A:A,[1]Sayfa1!$G:$L,6,0)</f>
        <v>ATAKUM</v>
      </c>
      <c r="M1310" s="3">
        <v>1</v>
      </c>
      <c r="N1310" s="3">
        <v>1</v>
      </c>
      <c r="O1310" s="10">
        <v>0</v>
      </c>
      <c r="P1310" s="3">
        <v>0</v>
      </c>
    </row>
    <row r="1311" spans="1:16" x14ac:dyDescent="0.3">
      <c r="A1311" s="6" t="s">
        <v>4299</v>
      </c>
      <c r="B1311" s="6" t="s">
        <v>4300</v>
      </c>
      <c r="C1311" s="2" t="s">
        <v>18</v>
      </c>
      <c r="D1311" s="6">
        <v>41.326153614699997</v>
      </c>
      <c r="E1311" s="6">
        <v>36.275330908800001</v>
      </c>
      <c r="G1311" s="7" t="s">
        <v>1031</v>
      </c>
      <c r="H1311" s="7" t="s">
        <v>1031</v>
      </c>
      <c r="I1311" s="7" t="s">
        <v>1031</v>
      </c>
      <c r="J1311" t="str">
        <f>VLOOKUP(A:A,[1]Sayfa1!$G:$K,5,0)</f>
        <v>MİMARSİNAN MAH ABDULLAH GÜL BULV. NO:68/A ATAKUM SAMSUN</v>
      </c>
      <c r="K1311" t="str">
        <f>VLOOKUP(A:A,[1]Sayfa1!$G:$M,7,0)</f>
        <v>SAMSUN</v>
      </c>
      <c r="L1311" t="str">
        <f>VLOOKUP(A:A,[1]Sayfa1!$G:$L,6,0)</f>
        <v>ATAKUM</v>
      </c>
      <c r="M1311" s="3">
        <v>1</v>
      </c>
      <c r="N1311" s="3">
        <v>1</v>
      </c>
      <c r="O1311" s="10">
        <v>0</v>
      </c>
      <c r="P1311" s="3">
        <v>0</v>
      </c>
    </row>
    <row r="1312" spans="1:16" x14ac:dyDescent="0.3">
      <c r="A1312" s="6" t="s">
        <v>4301</v>
      </c>
      <c r="B1312" s="6" t="s">
        <v>4302</v>
      </c>
      <c r="C1312" s="2" t="s">
        <v>18</v>
      </c>
      <c r="D1312" s="6">
        <v>41.334976254499999</v>
      </c>
      <c r="E1312" s="6">
        <v>36.258936720900003</v>
      </c>
      <c r="G1312" s="7" t="s">
        <v>1031</v>
      </c>
      <c r="H1312" s="7" t="s">
        <v>1031</v>
      </c>
      <c r="I1312" s="7" t="s">
        <v>1031</v>
      </c>
      <c r="J1312" t="str">
        <f>VLOOKUP(A:A,[1]Sayfa1!$G:$K,5,0)</f>
        <v>CUMHURİYET MAH. AZERBEYCAN CAD. NO:92/2 ATAKUM SAMSUN</v>
      </c>
      <c r="K1312" t="str">
        <f>VLOOKUP(A:A,[1]Sayfa1!$G:$M,7,0)</f>
        <v>SAMSUN</v>
      </c>
      <c r="L1312" t="str">
        <f>VLOOKUP(A:A,[1]Sayfa1!$G:$L,6,0)</f>
        <v>ATAKUM</v>
      </c>
      <c r="M1312" s="3">
        <v>1</v>
      </c>
      <c r="N1312" s="3">
        <v>1</v>
      </c>
      <c r="O1312" s="10">
        <v>0</v>
      </c>
      <c r="P1312" s="3">
        <v>0</v>
      </c>
    </row>
    <row r="1313" spans="1:16" x14ac:dyDescent="0.3">
      <c r="A1313" s="6" t="s">
        <v>4303</v>
      </c>
      <c r="B1313" s="6" t="s">
        <v>4304</v>
      </c>
      <c r="C1313" s="2" t="s">
        <v>18</v>
      </c>
      <c r="D1313" s="6">
        <v>41.294712859800001</v>
      </c>
      <c r="E1313" s="6">
        <v>36.2875368415</v>
      </c>
      <c r="G1313" s="7" t="s">
        <v>1031</v>
      </c>
      <c r="H1313" s="7" t="s">
        <v>1031</v>
      </c>
      <c r="I1313" s="7" t="s">
        <v>1031</v>
      </c>
      <c r="J1313" t="str">
        <f>VLOOKUP(A:A,[1]Sayfa1!$G:$K,5,0)</f>
        <v>DERECİK MAH CUMHURİYET CAD. NO:38/1 ILKADIM SAMSUN</v>
      </c>
      <c r="K1313" t="str">
        <f>VLOOKUP(A:A,[1]Sayfa1!$G:$M,7,0)</f>
        <v>SAMSUN</v>
      </c>
      <c r="L1313" t="str">
        <f>VLOOKUP(A:A,[1]Sayfa1!$G:$L,6,0)</f>
        <v>ILKADIM</v>
      </c>
      <c r="M1313" s="3">
        <v>1</v>
      </c>
      <c r="N1313" s="3">
        <v>1</v>
      </c>
      <c r="O1313" s="10">
        <v>0</v>
      </c>
      <c r="P1313" s="3">
        <v>0</v>
      </c>
    </row>
    <row r="1314" spans="1:16" x14ac:dyDescent="0.3">
      <c r="A1314" s="6" t="s">
        <v>4305</v>
      </c>
      <c r="B1314" s="6" t="s">
        <v>4306</v>
      </c>
      <c r="C1314" s="2" t="s">
        <v>18</v>
      </c>
      <c r="D1314" s="6">
        <v>41.312764742799999</v>
      </c>
      <c r="E1314" s="6">
        <v>36.3143604447</v>
      </c>
      <c r="G1314" s="7" t="s">
        <v>1031</v>
      </c>
      <c r="H1314" s="7" t="s">
        <v>1031</v>
      </c>
      <c r="I1314" s="7" t="s">
        <v>1031</v>
      </c>
      <c r="J1314" t="str">
        <f>VLOOKUP(A:A,[1]Sayfa1!$G:$K,5,0)</f>
        <v>KALKANCI MAH.293.SK.NO:1B/1 ILKADIM SAMSUN</v>
      </c>
      <c r="K1314" t="str">
        <f>VLOOKUP(A:A,[1]Sayfa1!$G:$M,7,0)</f>
        <v>SAMSUN</v>
      </c>
      <c r="L1314" t="str">
        <f>VLOOKUP(A:A,[1]Sayfa1!$G:$L,6,0)</f>
        <v>ILKADIM</v>
      </c>
      <c r="M1314" s="3">
        <v>1</v>
      </c>
      <c r="N1314" s="3">
        <v>1</v>
      </c>
      <c r="O1314" s="10">
        <v>0</v>
      </c>
      <c r="P1314" s="3">
        <v>0</v>
      </c>
    </row>
    <row r="1315" spans="1:16" x14ac:dyDescent="0.3">
      <c r="A1315" s="6" t="s">
        <v>4307</v>
      </c>
      <c r="B1315" s="6" t="s">
        <v>4308</v>
      </c>
      <c r="C1315" s="2" t="s">
        <v>18</v>
      </c>
      <c r="D1315" s="6">
        <v>41.329495100000003</v>
      </c>
      <c r="E1315" s="6">
        <v>36.283510700000001</v>
      </c>
      <c r="G1315" s="7" t="s">
        <v>1031</v>
      </c>
      <c r="H1315" s="7" t="s">
        <v>1031</v>
      </c>
      <c r="I1315" s="7" t="s">
        <v>1031</v>
      </c>
      <c r="J1315" t="str">
        <f>VLOOKUP(A:A,[1]Sayfa1!$G:$K,5,0)</f>
        <v>MİMARSİNAN MAH 119. SOK. NO:1 ATAKUM SAMSUN</v>
      </c>
      <c r="K1315" t="str">
        <f>VLOOKUP(A:A,[1]Sayfa1!$G:$M,7,0)</f>
        <v>SAMSUN</v>
      </c>
      <c r="L1315" t="str">
        <f>VLOOKUP(A:A,[1]Sayfa1!$G:$L,6,0)</f>
        <v>ATAKUM</v>
      </c>
      <c r="M1315" s="3">
        <v>1</v>
      </c>
      <c r="N1315" s="3">
        <v>1</v>
      </c>
      <c r="O1315" s="10">
        <v>0</v>
      </c>
      <c r="P1315" s="3">
        <v>0</v>
      </c>
    </row>
    <row r="1316" spans="1:16" x14ac:dyDescent="0.3">
      <c r="A1316" s="6" t="s">
        <v>4309</v>
      </c>
      <c r="B1316" s="6" t="s">
        <v>4310</v>
      </c>
      <c r="C1316" s="2" t="s">
        <v>18</v>
      </c>
      <c r="D1316" s="6">
        <v>41.326361536699999</v>
      </c>
      <c r="E1316" s="6">
        <v>36.302468883499998</v>
      </c>
      <c r="G1316" s="7" t="s">
        <v>1031</v>
      </c>
      <c r="H1316" s="7" t="s">
        <v>1031</v>
      </c>
      <c r="I1316" s="7" t="s">
        <v>1031</v>
      </c>
      <c r="J1316" t="str">
        <f>VLOOKUP(A:A,[1]Sayfa1!$G:$K,5,0)</f>
        <v>DENİZEVLERİ MAH 219. SOK. NO:3/3 ATAKUM SAMSUN</v>
      </c>
      <c r="K1316" t="str">
        <f>VLOOKUP(A:A,[1]Sayfa1!$G:$M,7,0)</f>
        <v>SAMSUN</v>
      </c>
      <c r="L1316" t="str">
        <f>VLOOKUP(A:A,[1]Sayfa1!$G:$L,6,0)</f>
        <v>ATAKUM</v>
      </c>
      <c r="M1316" s="3">
        <v>1</v>
      </c>
      <c r="N1316" s="3">
        <v>1</v>
      </c>
      <c r="O1316" s="10">
        <v>0</v>
      </c>
      <c r="P1316" s="3">
        <v>0</v>
      </c>
    </row>
    <row r="1317" spans="1:16" x14ac:dyDescent="0.3">
      <c r="A1317" s="6" t="s">
        <v>4311</v>
      </c>
      <c r="B1317" s="6" t="s">
        <v>4312</v>
      </c>
      <c r="C1317" s="2" t="s">
        <v>18</v>
      </c>
      <c r="D1317" s="6">
        <v>41.345808400000003</v>
      </c>
      <c r="E1317" s="6">
        <v>36.248025300000002</v>
      </c>
      <c r="G1317" s="7" t="s">
        <v>1031</v>
      </c>
      <c r="H1317" s="7" t="s">
        <v>1031</v>
      </c>
      <c r="I1317" s="7" t="s">
        <v>1031</v>
      </c>
      <c r="J1317" t="str">
        <f>VLOOKUP(A:A,[1]Sayfa1!$G:$K,5,0)</f>
        <v>GÜZELYALI MAH ATATÜRK BULV. NO:61 ATAKUM SAMSUN</v>
      </c>
      <c r="K1317" t="str">
        <f>VLOOKUP(A:A,[1]Sayfa1!$G:$M,7,0)</f>
        <v>SAMSUN</v>
      </c>
      <c r="L1317" t="str">
        <f>VLOOKUP(A:A,[1]Sayfa1!$G:$L,6,0)</f>
        <v>ATAKUM</v>
      </c>
      <c r="M1317" s="3">
        <v>1</v>
      </c>
      <c r="N1317" s="3">
        <v>1</v>
      </c>
      <c r="O1317" s="10">
        <v>0</v>
      </c>
      <c r="P1317" s="3">
        <v>0</v>
      </c>
    </row>
    <row r="1318" spans="1:16" x14ac:dyDescent="0.3">
      <c r="A1318" s="6" t="s">
        <v>4313</v>
      </c>
      <c r="B1318" s="6" t="s">
        <v>4314</v>
      </c>
      <c r="C1318" s="2" t="s">
        <v>18</v>
      </c>
      <c r="D1318" s="6">
        <v>41.340161671200001</v>
      </c>
      <c r="E1318" s="6">
        <v>36.2609068951</v>
      </c>
      <c r="G1318" s="7" t="s">
        <v>1031</v>
      </c>
      <c r="H1318" s="7" t="s">
        <v>1031</v>
      </c>
      <c r="I1318" s="7" t="s">
        <v>1031</v>
      </c>
      <c r="J1318" t="str">
        <f>VLOOKUP(A:A,[1]Sayfa1!$G:$K,5,0)</f>
        <v>CUMHURIYET MAH. KANDILLI CAD. NO:22 SAMSUN(MERKEZ) SAMSUN</v>
      </c>
      <c r="K1318" t="str">
        <f>VLOOKUP(A:A,[1]Sayfa1!$G:$M,7,0)</f>
        <v>SAMSUN</v>
      </c>
      <c r="L1318" t="str">
        <f>VLOOKUP(A:A,[1]Sayfa1!$G:$L,6,0)</f>
        <v>SAMSUN(MERKEZ)</v>
      </c>
      <c r="M1318" s="3">
        <v>1</v>
      </c>
      <c r="N1318" s="3">
        <v>1</v>
      </c>
      <c r="O1318" s="10">
        <v>0</v>
      </c>
      <c r="P1318" s="3">
        <v>0</v>
      </c>
    </row>
    <row r="1319" spans="1:16" x14ac:dyDescent="0.3">
      <c r="A1319" s="6" t="s">
        <v>4315</v>
      </c>
      <c r="B1319" s="6" t="s">
        <v>4316</v>
      </c>
      <c r="C1319" s="2" t="s">
        <v>18</v>
      </c>
      <c r="D1319" s="6">
        <v>41.333607349700003</v>
      </c>
      <c r="E1319" s="6">
        <v>36.264934842000002</v>
      </c>
      <c r="G1319" s="7" t="s">
        <v>1031</v>
      </c>
      <c r="H1319" s="7" t="s">
        <v>1031</v>
      </c>
      <c r="I1319" s="7" t="s">
        <v>1031</v>
      </c>
      <c r="J1319" t="str">
        <f>VLOOKUP(A:A,[1]Sayfa1!$G:$K,5,0)</f>
        <v>CUMHURIYET MAH. ARMONI SOK. NO:2 ATAKUM SAMSUN</v>
      </c>
      <c r="K1319" t="str">
        <f>VLOOKUP(A:A,[1]Sayfa1!$G:$M,7,0)</f>
        <v>SAMSUN</v>
      </c>
      <c r="L1319" t="str">
        <f>VLOOKUP(A:A,[1]Sayfa1!$G:$L,6,0)</f>
        <v>ATAKUM</v>
      </c>
      <c r="M1319" s="3">
        <v>1</v>
      </c>
      <c r="N1319" s="3">
        <v>1</v>
      </c>
      <c r="O1319" s="10">
        <v>0</v>
      </c>
      <c r="P1319" s="3">
        <v>0</v>
      </c>
    </row>
    <row r="1320" spans="1:16" x14ac:dyDescent="0.3">
      <c r="A1320" s="6" t="s">
        <v>4317</v>
      </c>
      <c r="B1320" s="6" t="s">
        <v>4318</v>
      </c>
      <c r="C1320" s="2" t="s">
        <v>18</v>
      </c>
      <c r="D1320" s="6">
        <v>41.327194800000001</v>
      </c>
      <c r="E1320" s="6">
        <v>36.268920799999997</v>
      </c>
      <c r="G1320" s="7" t="s">
        <v>1031</v>
      </c>
      <c r="H1320" s="7" t="s">
        <v>1031</v>
      </c>
      <c r="I1320" s="7" t="s">
        <v>1031</v>
      </c>
      <c r="J1320" t="str">
        <f>VLOOKUP(A:A,[1]Sayfa1!$G:$K,5,0)</f>
        <v>MEVLANA MAH. 737. SK. NO:12 SAMSUN(MERKEZ) SAMSUN</v>
      </c>
      <c r="K1320" t="str">
        <f>VLOOKUP(A:A,[1]Sayfa1!$G:$M,7,0)</f>
        <v>SAMSUN</v>
      </c>
      <c r="L1320" t="str">
        <f>VLOOKUP(A:A,[1]Sayfa1!$G:$L,6,0)</f>
        <v>SAMSUN(MERKEZ)</v>
      </c>
      <c r="M1320" s="3">
        <v>1</v>
      </c>
      <c r="N1320" s="3">
        <v>1</v>
      </c>
      <c r="O1320" s="10">
        <v>0</v>
      </c>
      <c r="P1320" s="3">
        <v>0</v>
      </c>
    </row>
    <row r="1321" spans="1:16" x14ac:dyDescent="0.3">
      <c r="A1321" s="6" t="s">
        <v>4319</v>
      </c>
      <c r="B1321" s="6" t="s">
        <v>4320</v>
      </c>
      <c r="C1321" s="2" t="s">
        <v>18</v>
      </c>
      <c r="D1321" s="6">
        <v>41.332921176299998</v>
      </c>
      <c r="E1321" s="6">
        <v>36.259327400499998</v>
      </c>
      <c r="G1321" s="7" t="s">
        <v>1031</v>
      </c>
      <c r="H1321" s="7" t="s">
        <v>1031</v>
      </c>
      <c r="I1321" s="7" t="s">
        <v>1031</v>
      </c>
      <c r="J1321" t="str">
        <f>VLOOKUP(A:A,[1]Sayfa1!$G:$K,5,0)</f>
        <v>CUMHURİYET MH. ABULLAH GÜL BULVARI C BLOK NO:162/A ATAKUM SAMSUN</v>
      </c>
      <c r="K1321" t="str">
        <f>VLOOKUP(A:A,[1]Sayfa1!$G:$M,7,0)</f>
        <v>SAMSUN</v>
      </c>
      <c r="L1321" t="str">
        <f>VLOOKUP(A:A,[1]Sayfa1!$G:$L,6,0)</f>
        <v>ATAKUM</v>
      </c>
      <c r="M1321" s="3">
        <v>1</v>
      </c>
      <c r="N1321" s="3">
        <v>1</v>
      </c>
      <c r="O1321" s="10">
        <v>0</v>
      </c>
      <c r="P1321" s="3">
        <v>0</v>
      </c>
    </row>
    <row r="1322" spans="1:16" x14ac:dyDescent="0.3">
      <c r="A1322" s="6" t="s">
        <v>4321</v>
      </c>
      <c r="B1322" s="6" t="s">
        <v>4322</v>
      </c>
      <c r="C1322" s="2" t="s">
        <v>18</v>
      </c>
      <c r="D1322" s="6">
        <v>41.335758116900003</v>
      </c>
      <c r="E1322" s="6">
        <v>36.261166254999999</v>
      </c>
      <c r="G1322" s="7" t="s">
        <v>1031</v>
      </c>
      <c r="H1322" s="7" t="s">
        <v>1031</v>
      </c>
      <c r="I1322" s="7" t="s">
        <v>1031</v>
      </c>
      <c r="J1322" t="str">
        <f>VLOOKUP(A:A,[1]Sayfa1!$G:$K,5,0)</f>
        <v>CUMHURİYET MH. 49. SK. B BLOK APT NO:18 ATAKUM SAMSUN</v>
      </c>
      <c r="K1322" t="str">
        <f>VLOOKUP(A:A,[1]Sayfa1!$G:$M,7,0)</f>
        <v>SAMSUN</v>
      </c>
      <c r="L1322" t="str">
        <f>VLOOKUP(A:A,[1]Sayfa1!$G:$L,6,0)</f>
        <v>ATAKUM</v>
      </c>
      <c r="M1322" s="3">
        <v>1</v>
      </c>
      <c r="N1322" s="3">
        <v>1</v>
      </c>
      <c r="O1322" s="10">
        <v>0</v>
      </c>
      <c r="P1322" s="3">
        <v>0</v>
      </c>
    </row>
    <row r="1323" spans="1:16" x14ac:dyDescent="0.3">
      <c r="A1323" s="6" t="s">
        <v>4323</v>
      </c>
      <c r="B1323" s="6" t="s">
        <v>4324</v>
      </c>
      <c r="C1323" s="2" t="s">
        <v>18</v>
      </c>
      <c r="D1323" s="6">
        <v>41.3433347</v>
      </c>
      <c r="E1323" s="6">
        <v>36.235204500000002</v>
      </c>
      <c r="G1323" s="7" t="s">
        <v>1031</v>
      </c>
      <c r="H1323" s="7" t="s">
        <v>1031</v>
      </c>
      <c r="I1323" s="7" t="s">
        <v>1031</v>
      </c>
      <c r="J1323" t="str">
        <f>VLOOKUP(A:A,[1]Sayfa1!$G:$K,5,0)</f>
        <v>YENİMAHALLE MH. ATAKENT BUL. NO:144/A ATAKUM SAMSUN</v>
      </c>
      <c r="K1323" t="str">
        <f>VLOOKUP(A:A,[1]Sayfa1!$G:$M,7,0)</f>
        <v>SAMSUN</v>
      </c>
      <c r="L1323" t="str">
        <f>VLOOKUP(A:A,[1]Sayfa1!$G:$L,6,0)</f>
        <v>ATAKUM</v>
      </c>
      <c r="M1323" s="3">
        <v>1</v>
      </c>
      <c r="N1323" s="3">
        <v>1</v>
      </c>
      <c r="O1323" s="10">
        <v>0</v>
      </c>
      <c r="P1323" s="3">
        <v>0</v>
      </c>
    </row>
    <row r="1324" spans="1:16" x14ac:dyDescent="0.3">
      <c r="A1324" s="6" t="s">
        <v>4325</v>
      </c>
      <c r="B1324" s="6" t="s">
        <v>4326</v>
      </c>
      <c r="C1324" s="2" t="s">
        <v>18</v>
      </c>
      <c r="D1324" s="6">
        <v>41.2876093</v>
      </c>
      <c r="E1324" s="6">
        <v>36.310081599999997</v>
      </c>
      <c r="G1324" s="7" t="s">
        <v>1031</v>
      </c>
      <c r="H1324" s="7" t="s">
        <v>1031</v>
      </c>
      <c r="I1324" s="7" t="s">
        <v>1031</v>
      </c>
      <c r="J1324" t="str">
        <f>VLOOKUP(A:A,[1]Sayfa1!$G:$K,5,0)</f>
        <v>ÇATALARMUT MAH. 179. SOK. 2-A/1 ILKADIM SAMSUN</v>
      </c>
      <c r="K1324" t="str">
        <f>VLOOKUP(A:A,[1]Sayfa1!$G:$M,7,0)</f>
        <v>SAMSUN</v>
      </c>
      <c r="L1324" t="str">
        <f>VLOOKUP(A:A,[1]Sayfa1!$G:$L,6,0)</f>
        <v>ILKADIM</v>
      </c>
      <c r="M1324" s="3">
        <v>1</v>
      </c>
      <c r="N1324" s="3">
        <v>1</v>
      </c>
      <c r="O1324" s="10">
        <v>0</v>
      </c>
      <c r="P1324" s="3">
        <v>0</v>
      </c>
    </row>
    <row r="1325" spans="1:16" x14ac:dyDescent="0.3">
      <c r="A1325" s="6" t="s">
        <v>4327</v>
      </c>
      <c r="B1325" s="6" t="s">
        <v>4328</v>
      </c>
      <c r="C1325" s="2" t="s">
        <v>18</v>
      </c>
      <c r="D1325" s="6">
        <v>41.324025837100002</v>
      </c>
      <c r="E1325" s="6">
        <v>36.299750727999999</v>
      </c>
      <c r="G1325" s="7" t="s">
        <v>1031</v>
      </c>
      <c r="H1325" s="7" t="s">
        <v>1031</v>
      </c>
      <c r="I1325" s="7" t="s">
        <v>1031</v>
      </c>
      <c r="J1325" t="str">
        <f>VLOOKUP(A:A,[1]Sayfa1!$G:$K,5,0)</f>
        <v>ESENEVLER MH. 392 SK. NO:5-A ADRES KODU:2806340150 ALAÇAM SAMSUN</v>
      </c>
      <c r="K1325" t="str">
        <f>VLOOKUP(A:A,[1]Sayfa1!$G:$M,7,0)</f>
        <v>SAMSUN</v>
      </c>
      <c r="L1325" t="str">
        <f>VLOOKUP(A:A,[1]Sayfa1!$G:$L,6,0)</f>
        <v>ALAÇAM</v>
      </c>
      <c r="M1325" s="3">
        <v>1</v>
      </c>
      <c r="N1325" s="3">
        <v>1</v>
      </c>
      <c r="O1325" s="10">
        <v>0</v>
      </c>
      <c r="P1325" s="3">
        <v>0</v>
      </c>
    </row>
    <row r="1326" spans="1:16" x14ac:dyDescent="0.3">
      <c r="A1326" s="6" t="s">
        <v>4329</v>
      </c>
      <c r="B1326" s="6" t="s">
        <v>4330</v>
      </c>
      <c r="C1326" s="2" t="s">
        <v>18</v>
      </c>
      <c r="D1326" s="6">
        <v>41.319049300000003</v>
      </c>
      <c r="E1326" s="6">
        <v>36.281178799999999</v>
      </c>
      <c r="G1326" s="7" t="s">
        <v>1031</v>
      </c>
      <c r="H1326" s="7" t="s">
        <v>1031</v>
      </c>
      <c r="I1326" s="7" t="s">
        <v>1031</v>
      </c>
      <c r="J1326" t="str">
        <f>VLOOKUP(A:A,[1]Sayfa1!$G:$K,5,0)</f>
        <v>KÜÇÜKKOLPINAR MAH NİŞANTAŞI CD. NO:75/C ATAKUM SAMSUN</v>
      </c>
      <c r="K1326" t="str">
        <f>VLOOKUP(A:A,[1]Sayfa1!$G:$M,7,0)</f>
        <v>SAMSUN</v>
      </c>
      <c r="L1326" t="str">
        <f>VLOOKUP(A:A,[1]Sayfa1!$G:$L,6,0)</f>
        <v>ATAKUM</v>
      </c>
      <c r="M1326" s="3">
        <v>1</v>
      </c>
      <c r="N1326" s="3">
        <v>1</v>
      </c>
      <c r="O1326" s="10">
        <v>0</v>
      </c>
      <c r="P1326" s="3">
        <v>0</v>
      </c>
    </row>
    <row r="1327" spans="1:16" x14ac:dyDescent="0.3">
      <c r="A1327" s="6" t="s">
        <v>4331</v>
      </c>
      <c r="B1327" s="6" t="s">
        <v>4332</v>
      </c>
      <c r="C1327" s="2" t="s">
        <v>18</v>
      </c>
      <c r="D1327" s="6">
        <v>41.350439199999997</v>
      </c>
      <c r="E1327" s="6">
        <v>36.235306399999999</v>
      </c>
      <c r="G1327" s="7" t="s">
        <v>1031</v>
      </c>
      <c r="H1327" s="7" t="s">
        <v>1031</v>
      </c>
      <c r="I1327" s="7" t="s">
        <v>1031</v>
      </c>
      <c r="J1327" t="str">
        <f>VLOOKUP(A:A,[1]Sayfa1!$G:$K,5,0)</f>
        <v>YENİ MH. VATAN CD. NO:34/A ATAKUM SAMSUN</v>
      </c>
      <c r="K1327" t="str">
        <f>VLOOKUP(A:A,[1]Sayfa1!$G:$M,7,0)</f>
        <v>SAMSUN</v>
      </c>
      <c r="L1327" t="str">
        <f>VLOOKUP(A:A,[1]Sayfa1!$G:$L,6,0)</f>
        <v>ATAKUM</v>
      </c>
      <c r="M1327" s="3">
        <v>1</v>
      </c>
      <c r="N1327" s="3">
        <v>1</v>
      </c>
      <c r="O1327" s="10">
        <v>0</v>
      </c>
      <c r="P1327" s="3">
        <v>0</v>
      </c>
    </row>
    <row r="1328" spans="1:16" x14ac:dyDescent="0.3">
      <c r="A1328" s="6" t="s">
        <v>4333</v>
      </c>
      <c r="B1328" s="6" t="s">
        <v>4334</v>
      </c>
      <c r="C1328" s="2" t="s">
        <v>18</v>
      </c>
      <c r="D1328" s="6">
        <v>41.329646240999999</v>
      </c>
      <c r="E1328" s="6">
        <v>36.268388573099998</v>
      </c>
      <c r="G1328" s="7" t="s">
        <v>1031</v>
      </c>
      <c r="H1328" s="7" t="s">
        <v>1031</v>
      </c>
      <c r="I1328" s="7" t="s">
        <v>1031</v>
      </c>
      <c r="J1328" t="str">
        <f>VLOOKUP(A:A,[1]Sayfa1!$G:$K,5,0)</f>
        <v>CUMHURİYET MH. 99.SK. NO:3/A ATAKUM SAMSUN</v>
      </c>
      <c r="K1328" t="str">
        <f>VLOOKUP(A:A,[1]Sayfa1!$G:$M,7,0)</f>
        <v>SAMSUN</v>
      </c>
      <c r="L1328" t="str">
        <f>VLOOKUP(A:A,[1]Sayfa1!$G:$L,6,0)</f>
        <v>ATAKUM</v>
      </c>
      <c r="M1328" s="3">
        <v>1</v>
      </c>
      <c r="N1328" s="3">
        <v>1</v>
      </c>
      <c r="O1328" s="10">
        <v>0</v>
      </c>
      <c r="P1328" s="3">
        <v>0</v>
      </c>
    </row>
    <row r="1329" spans="1:16" x14ac:dyDescent="0.3">
      <c r="A1329" s="6" t="s">
        <v>4335</v>
      </c>
      <c r="B1329" s="6" t="s">
        <v>4336</v>
      </c>
      <c r="C1329" s="2" t="s">
        <v>18</v>
      </c>
      <c r="D1329" s="6">
        <v>41.3216866928</v>
      </c>
      <c r="E1329" s="6">
        <v>36.289427243600002</v>
      </c>
      <c r="G1329" s="7" t="s">
        <v>1031</v>
      </c>
      <c r="H1329" s="7" t="s">
        <v>1031</v>
      </c>
      <c r="I1329" s="7" t="s">
        <v>1031</v>
      </c>
      <c r="J1329" t="str">
        <f>VLOOKUP(A:A,[1]Sayfa1!$G:$K,5,0)</f>
        <v>ESENEVLER MH. 365. SK. NO:27 / A ATAKUM SAMSUN</v>
      </c>
      <c r="K1329" t="str">
        <f>VLOOKUP(A:A,[1]Sayfa1!$G:$M,7,0)</f>
        <v>SAMSUN</v>
      </c>
      <c r="L1329" t="str">
        <f>VLOOKUP(A:A,[1]Sayfa1!$G:$L,6,0)</f>
        <v>ATAKUM</v>
      </c>
      <c r="M1329" s="3">
        <v>1</v>
      </c>
      <c r="N1329" s="3">
        <v>1</v>
      </c>
      <c r="O1329" s="10">
        <v>0</v>
      </c>
      <c r="P1329" s="3">
        <v>0</v>
      </c>
    </row>
    <row r="1330" spans="1:16" x14ac:dyDescent="0.3">
      <c r="A1330" s="6" t="s">
        <v>4337</v>
      </c>
      <c r="B1330" s="6" t="s">
        <v>4338</v>
      </c>
      <c r="C1330" s="2" t="s">
        <v>18</v>
      </c>
      <c r="D1330" s="6">
        <v>41.289360600000002</v>
      </c>
      <c r="E1330" s="6">
        <v>36.309483299999997</v>
      </c>
      <c r="G1330" s="7" t="s">
        <v>1031</v>
      </c>
      <c r="H1330" s="7" t="s">
        <v>1031</v>
      </c>
      <c r="I1330" s="7" t="s">
        <v>1031</v>
      </c>
      <c r="J1330" t="str">
        <f>VLOOKUP(A:A,[1]Sayfa1!$G:$K,5,0)</f>
        <v>ESENEVLER MH. 365. SK. NO:27  A ATAKUM ÇATALARMUT MH.. 30 AĞUSTOS CD. NO:209  ILKADIM SAMSUN</v>
      </c>
      <c r="K1330" t="str">
        <f>VLOOKUP(A:A,[1]Sayfa1!$G:$M,7,0)</f>
        <v>SAMSUN</v>
      </c>
      <c r="L1330" t="str">
        <f>VLOOKUP(A:A,[1]Sayfa1!$G:$L,6,0)</f>
        <v>ILKADIM</v>
      </c>
      <c r="M1330" s="3">
        <v>1</v>
      </c>
      <c r="N1330" s="3">
        <v>1</v>
      </c>
      <c r="O1330" s="10">
        <v>0</v>
      </c>
      <c r="P1330" s="3">
        <v>0</v>
      </c>
    </row>
    <row r="1331" spans="1:16" x14ac:dyDescent="0.3">
      <c r="A1331" s="6" t="s">
        <v>4339</v>
      </c>
      <c r="B1331" s="6" t="s">
        <v>4340</v>
      </c>
      <c r="C1331" s="2" t="s">
        <v>18</v>
      </c>
      <c r="D1331" s="6">
        <v>41.337677499999998</v>
      </c>
      <c r="E1331" s="6">
        <v>36.241776299999998</v>
      </c>
      <c r="G1331" s="7" t="s">
        <v>1031</v>
      </c>
      <c r="H1331" s="7" t="s">
        <v>1031</v>
      </c>
      <c r="I1331" s="7" t="s">
        <v>1031</v>
      </c>
      <c r="J1331" t="str">
        <f>VLOOKUP(A:A,[1]Sayfa1!$G:$K,5,0)</f>
        <v>YENİ MAH. 3417. CAD. NO:63 / A-B ADRES KODU: 3500220268 -1595582337 ATAKUM SAMSUN</v>
      </c>
      <c r="K1331" t="str">
        <f>VLOOKUP(A:A,[1]Sayfa1!$G:$M,7,0)</f>
        <v>SAMSUN</v>
      </c>
      <c r="L1331" t="str">
        <f>VLOOKUP(A:A,[1]Sayfa1!$G:$L,6,0)</f>
        <v>ATAKUM</v>
      </c>
      <c r="M1331" s="3">
        <v>1</v>
      </c>
      <c r="N1331" s="3">
        <v>1</v>
      </c>
      <c r="O1331" s="10">
        <v>0</v>
      </c>
      <c r="P1331" s="3">
        <v>0</v>
      </c>
    </row>
    <row r="1332" spans="1:16" x14ac:dyDescent="0.3">
      <c r="A1332" s="6" t="s">
        <v>4341</v>
      </c>
      <c r="B1332" s="6" t="s">
        <v>4342</v>
      </c>
      <c r="C1332" s="2" t="s">
        <v>18</v>
      </c>
      <c r="D1332" s="6">
        <v>41.330373700000003</v>
      </c>
      <c r="E1332" s="6">
        <v>36.244421099999997</v>
      </c>
      <c r="G1332" s="7" t="s">
        <v>1031</v>
      </c>
      <c r="H1332" s="7" t="s">
        <v>1031</v>
      </c>
      <c r="I1332" s="7" t="s">
        <v>1031</v>
      </c>
      <c r="J1332" t="str">
        <f>VLOOKUP(A:A,[1]Sayfa1!$G:$K,5,0)</f>
        <v>ATATEPE MAH. 3510 SOK. NO:2A-B ADRES KODU: 1435982192 / 3202027011 ATAKUM SAMSUN</v>
      </c>
      <c r="K1332" t="str">
        <f>VLOOKUP(A:A,[1]Sayfa1!$G:$M,7,0)</f>
        <v>SAMSUN</v>
      </c>
      <c r="L1332" t="str">
        <f>VLOOKUP(A:A,[1]Sayfa1!$G:$L,6,0)</f>
        <v>ATAKUM</v>
      </c>
      <c r="M1332" s="3">
        <v>1</v>
      </c>
      <c r="N1332" s="3">
        <v>1</v>
      </c>
      <c r="O1332" s="10">
        <v>0</v>
      </c>
      <c r="P1332" s="3">
        <v>0</v>
      </c>
    </row>
    <row r="1333" spans="1:16" x14ac:dyDescent="0.3">
      <c r="A1333" s="6" t="s">
        <v>4343</v>
      </c>
      <c r="B1333" s="6" t="s">
        <v>4344</v>
      </c>
      <c r="C1333" s="2" t="s">
        <v>18</v>
      </c>
      <c r="D1333" s="6">
        <v>41.3377631591</v>
      </c>
      <c r="E1333" s="6">
        <v>36.265924942600002</v>
      </c>
      <c r="G1333" s="7" t="s">
        <v>1031</v>
      </c>
      <c r="H1333" s="7" t="s">
        <v>1031</v>
      </c>
      <c r="I1333" s="7" t="s">
        <v>1031</v>
      </c>
      <c r="J1333" t="str">
        <f>VLOOKUP(A:A,[1]Sayfa1!$G:$K,5,0)</f>
        <v>CUMHURİYET MAH. 44. SOK. NO:4A ADRES KODU:1959167907 ATAKUM SAMSUN</v>
      </c>
      <c r="K1333" t="str">
        <f>VLOOKUP(A:A,[1]Sayfa1!$G:$M,7,0)</f>
        <v>SAMSUN</v>
      </c>
      <c r="L1333" t="str">
        <f>VLOOKUP(A:A,[1]Sayfa1!$G:$L,6,0)</f>
        <v>ATAKUM</v>
      </c>
      <c r="M1333" s="3">
        <v>1</v>
      </c>
      <c r="N1333" s="3">
        <v>1</v>
      </c>
      <c r="O1333" s="10">
        <v>0</v>
      </c>
      <c r="P1333" s="3">
        <v>0</v>
      </c>
    </row>
    <row r="1334" spans="1:16" x14ac:dyDescent="0.3">
      <c r="A1334" s="6" t="s">
        <v>4345</v>
      </c>
      <c r="B1334" s="6" t="s">
        <v>4346</v>
      </c>
      <c r="C1334" s="2" t="s">
        <v>18</v>
      </c>
      <c r="D1334" s="6">
        <v>41.315491700000003</v>
      </c>
      <c r="E1334" s="6">
        <v>36.3200383</v>
      </c>
      <c r="G1334" s="7" t="s">
        <v>1031</v>
      </c>
      <c r="H1334" s="7" t="s">
        <v>1031</v>
      </c>
      <c r="I1334" s="7" t="s">
        <v>1031</v>
      </c>
      <c r="J1334" t="str">
        <f>VLOOKUP(A:A,[1]Sayfa1!$G:$K,5,0)</f>
        <v>BARUTHANE MAH. SORGUN SOK. NO:6 C BLOK 1-2-3 ADRES KODU:2756234700 - 2755934714 - 2755634728 ILKADIM SAMSUN</v>
      </c>
      <c r="K1334" t="str">
        <f>VLOOKUP(A:A,[1]Sayfa1!$G:$M,7,0)</f>
        <v>SAMSUN</v>
      </c>
      <c r="L1334" t="str">
        <f>VLOOKUP(A:A,[1]Sayfa1!$G:$L,6,0)</f>
        <v>ILKADIM</v>
      </c>
      <c r="M1334" s="3">
        <v>1</v>
      </c>
      <c r="N1334" s="3">
        <v>1</v>
      </c>
      <c r="O1334" s="10">
        <v>0</v>
      </c>
      <c r="P1334" s="3">
        <v>0</v>
      </c>
    </row>
    <row r="1335" spans="1:16" x14ac:dyDescent="0.3">
      <c r="A1335" s="6" t="s">
        <v>4347</v>
      </c>
      <c r="B1335" s="6" t="s">
        <v>4348</v>
      </c>
      <c r="C1335" s="2" t="s">
        <v>18</v>
      </c>
      <c r="D1335" s="6">
        <v>41.331910821599998</v>
      </c>
      <c r="E1335" s="6">
        <v>36.267889766099998</v>
      </c>
      <c r="G1335" s="7" t="s">
        <v>1031</v>
      </c>
      <c r="H1335" s="7" t="s">
        <v>1031</v>
      </c>
      <c r="I1335" s="7" t="s">
        <v>1031</v>
      </c>
      <c r="J1335" t="str">
        <f>VLOOKUP(A:A,[1]Sayfa1!$G:$K,5,0)</f>
        <v>CUMHURİYET MAH. AZERBEYCAN CAD.NO: 20B 5383294344 ATAKUM SAMSUN</v>
      </c>
      <c r="K1335" t="str">
        <f>VLOOKUP(A:A,[1]Sayfa1!$G:$M,7,0)</f>
        <v>SAMSUN</v>
      </c>
      <c r="L1335" t="str">
        <f>VLOOKUP(A:A,[1]Sayfa1!$G:$L,6,0)</f>
        <v>ATAKUM</v>
      </c>
      <c r="M1335" s="3">
        <v>1</v>
      </c>
      <c r="N1335" s="3">
        <v>1</v>
      </c>
      <c r="O1335" s="10">
        <v>0</v>
      </c>
      <c r="P1335" s="3">
        <v>0</v>
      </c>
    </row>
    <row r="1336" spans="1:16" x14ac:dyDescent="0.3">
      <c r="A1336" s="6" t="s">
        <v>4349</v>
      </c>
      <c r="B1336" s="6" t="s">
        <v>4350</v>
      </c>
      <c r="C1336" s="2" t="s">
        <v>18</v>
      </c>
      <c r="D1336" s="6">
        <v>41.322429999999997</v>
      </c>
      <c r="E1336" s="6">
        <v>36.273001700000002</v>
      </c>
      <c r="G1336" s="7" t="s">
        <v>1031</v>
      </c>
      <c r="H1336" s="7" t="s">
        <v>1031</v>
      </c>
      <c r="I1336" s="7" t="s">
        <v>1031</v>
      </c>
      <c r="J1336" t="str">
        <f>VLOOKUP(A:A,[1]Sayfa1!$G:$K,5,0)</f>
        <v>MEVLANA MAH. BORNOVA CAD. NO:144AADRES KODU:5125247246 ATAKUM SAMSUN</v>
      </c>
      <c r="K1336" t="str">
        <f>VLOOKUP(A:A,[1]Sayfa1!$G:$M,7,0)</f>
        <v>SAMSUN</v>
      </c>
      <c r="L1336" t="str">
        <f>VLOOKUP(A:A,[1]Sayfa1!$G:$L,6,0)</f>
        <v>ATAKUM</v>
      </c>
      <c r="M1336" s="3">
        <v>1</v>
      </c>
      <c r="N1336" s="3">
        <v>1</v>
      </c>
      <c r="O1336" s="10">
        <v>0</v>
      </c>
      <c r="P1336" s="3">
        <v>0</v>
      </c>
    </row>
    <row r="1337" spans="1:16" x14ac:dyDescent="0.3">
      <c r="A1337" s="6" t="s">
        <v>4351</v>
      </c>
      <c r="B1337" s="6" t="s">
        <v>4352</v>
      </c>
      <c r="C1337" s="2" t="s">
        <v>18</v>
      </c>
      <c r="D1337" s="6">
        <v>41.341569700000001</v>
      </c>
      <c r="E1337" s="6">
        <v>36.239076599999997</v>
      </c>
      <c r="G1337" s="7" t="s">
        <v>1031</v>
      </c>
      <c r="H1337" s="7" t="s">
        <v>1031</v>
      </c>
      <c r="I1337" s="7" t="s">
        <v>1031</v>
      </c>
      <c r="J1337" t="str">
        <f>VLOOKUP(A:A,[1]Sayfa1!$G:$K,5,0)</f>
        <v>YENİ MAHALLE MAH. 3417 CAD.NO:88 A ATAKUM SAMSUN</v>
      </c>
      <c r="K1337" t="str">
        <f>VLOOKUP(A:A,[1]Sayfa1!$G:$M,7,0)</f>
        <v>SAMSUN</v>
      </c>
      <c r="L1337" t="str">
        <f>VLOOKUP(A:A,[1]Sayfa1!$G:$L,6,0)</f>
        <v>ATAKUM</v>
      </c>
      <c r="M1337" s="3">
        <v>1</v>
      </c>
      <c r="N1337" s="3">
        <v>1</v>
      </c>
      <c r="O1337" s="10">
        <v>0</v>
      </c>
      <c r="P1337" s="3">
        <v>0</v>
      </c>
    </row>
    <row r="1338" spans="1:16" x14ac:dyDescent="0.3">
      <c r="A1338" s="6" t="s">
        <v>4353</v>
      </c>
      <c r="B1338" s="6" t="s">
        <v>4354</v>
      </c>
      <c r="C1338" s="2" t="s">
        <v>18</v>
      </c>
      <c r="D1338" s="6">
        <v>41.322396599999998</v>
      </c>
      <c r="E1338" s="6">
        <v>36.268679800000001</v>
      </c>
      <c r="G1338" s="7" t="s">
        <v>1031</v>
      </c>
      <c r="H1338" s="7" t="s">
        <v>1031</v>
      </c>
      <c r="I1338" s="7" t="s">
        <v>1031</v>
      </c>
      <c r="J1338" t="str">
        <f>VLOOKUP(A:A,[1]Sayfa1!$G:$K,5,0)</f>
        <v>İSTİKLAL MAH. ALPARSLAN BULVARI NO:120/A ATAKUM SAMSUN</v>
      </c>
      <c r="K1338" t="str">
        <f>VLOOKUP(A:A,[1]Sayfa1!$G:$M,7,0)</f>
        <v>SAMSUN</v>
      </c>
      <c r="L1338" t="str">
        <f>VLOOKUP(A:A,[1]Sayfa1!$G:$L,6,0)</f>
        <v>ATAKUM</v>
      </c>
      <c r="M1338" s="3">
        <v>1</v>
      </c>
      <c r="N1338" s="3">
        <v>1</v>
      </c>
      <c r="O1338" s="10">
        <v>0</v>
      </c>
      <c r="P1338" s="3">
        <v>0</v>
      </c>
    </row>
    <row r="1339" spans="1:16" x14ac:dyDescent="0.3">
      <c r="A1339" s="6" t="s">
        <v>4355</v>
      </c>
      <c r="B1339" s="6" t="s">
        <v>4356</v>
      </c>
      <c r="C1339" s="2" t="s">
        <v>18</v>
      </c>
      <c r="D1339" s="6">
        <v>41.308491134100002</v>
      </c>
      <c r="E1339" s="6">
        <v>36.317270335400003</v>
      </c>
      <c r="G1339" s="7" t="s">
        <v>1031</v>
      </c>
      <c r="H1339" s="7" t="s">
        <v>1031</v>
      </c>
      <c r="I1339" s="7" t="s">
        <v>1031</v>
      </c>
      <c r="J1339" t="str">
        <f>VLOOKUP(A:A,[1]Sayfa1!$G:$K,5,0)</f>
        <v>KARA MAH. MARMARİS SOK. NO:1A ILKADIM SAMSUN</v>
      </c>
      <c r="K1339" t="str">
        <f>VLOOKUP(A:A,[1]Sayfa1!$G:$M,7,0)</f>
        <v>SAMSUN</v>
      </c>
      <c r="L1339" t="str">
        <f>VLOOKUP(A:A,[1]Sayfa1!$G:$L,6,0)</f>
        <v>ILKADIM</v>
      </c>
      <c r="M1339" s="3">
        <v>1</v>
      </c>
      <c r="N1339" s="3">
        <v>1</v>
      </c>
      <c r="O1339" s="10">
        <v>0</v>
      </c>
      <c r="P1339" s="3">
        <v>0</v>
      </c>
    </row>
    <row r="1340" spans="1:16" x14ac:dyDescent="0.3">
      <c r="A1340" s="6" t="s">
        <v>4357</v>
      </c>
      <c r="B1340" s="6" t="s">
        <v>4358</v>
      </c>
      <c r="C1340" s="2" t="s">
        <v>18</v>
      </c>
      <c r="D1340" s="6">
        <v>41.311675399999999</v>
      </c>
      <c r="E1340" s="6">
        <v>36.278434300000001</v>
      </c>
      <c r="G1340" s="7" t="s">
        <v>1031</v>
      </c>
      <c r="H1340" s="7" t="s">
        <v>1031</v>
      </c>
      <c r="I1340" s="7" t="s">
        <v>1031</v>
      </c>
      <c r="J1340" t="str">
        <f>VLOOKUP(A:A,[1]Sayfa1!$G:$K,5,0)</f>
        <v>BÜYÜKKOLPINAR MAH. ALAÇAM CAD. NO:161 C ATAKUM SAMSUN</v>
      </c>
      <c r="K1340" t="str">
        <f>VLOOKUP(A:A,[1]Sayfa1!$G:$M,7,0)</f>
        <v>SAMSUN</v>
      </c>
      <c r="L1340" t="str">
        <f>VLOOKUP(A:A,[1]Sayfa1!$G:$L,6,0)</f>
        <v>ATAKUM</v>
      </c>
      <c r="M1340" s="3">
        <v>1</v>
      </c>
      <c r="N1340" s="3">
        <v>1</v>
      </c>
      <c r="O1340" s="10">
        <v>0</v>
      </c>
      <c r="P1340" s="3">
        <v>0</v>
      </c>
    </row>
    <row r="1341" spans="1:16" x14ac:dyDescent="0.3">
      <c r="A1341" s="6" t="s">
        <v>4359</v>
      </c>
      <c r="B1341" s="6" t="s">
        <v>4360</v>
      </c>
      <c r="C1341" s="2" t="s">
        <v>18</v>
      </c>
      <c r="D1341" s="6">
        <v>41.325832699999999</v>
      </c>
      <c r="E1341" s="6">
        <v>36.264028600000003</v>
      </c>
      <c r="G1341" s="7" t="s">
        <v>1031</v>
      </c>
      <c r="H1341" s="7" t="s">
        <v>1031</v>
      </c>
      <c r="I1341" s="7" t="s">
        <v>1031</v>
      </c>
      <c r="J1341" t="str">
        <f>VLOOKUP(A:A,[1]Sayfa1!$G:$K,5,0)</f>
        <v>İSTİKLAL MAH. 865. SOK. ŞENTÜRK APART. B BLOK NO:12A ATAKUM SAMSUN</v>
      </c>
      <c r="K1341" t="str">
        <f>VLOOKUP(A:A,[1]Sayfa1!$G:$M,7,0)</f>
        <v>SAMSUN</v>
      </c>
      <c r="L1341" t="str">
        <f>VLOOKUP(A:A,[1]Sayfa1!$G:$L,6,0)</f>
        <v>ATAKUM</v>
      </c>
      <c r="M1341" s="3">
        <v>1</v>
      </c>
      <c r="N1341" s="3">
        <v>1</v>
      </c>
      <c r="O1341" s="10">
        <v>0</v>
      </c>
      <c r="P1341" s="3">
        <v>0</v>
      </c>
    </row>
    <row r="1342" spans="1:16" x14ac:dyDescent="0.3">
      <c r="A1342" s="6" t="s">
        <v>4361</v>
      </c>
      <c r="B1342" s="6" t="s">
        <v>4362</v>
      </c>
      <c r="C1342" s="2" t="s">
        <v>18</v>
      </c>
      <c r="D1342" s="6">
        <v>41.298675126900001</v>
      </c>
      <c r="E1342" s="6">
        <v>36.312275004299998</v>
      </c>
      <c r="G1342" s="7" t="s">
        <v>1031</v>
      </c>
      <c r="H1342" s="7" t="s">
        <v>1031</v>
      </c>
      <c r="I1342" s="7" t="s">
        <v>1031</v>
      </c>
      <c r="J1342" t="str">
        <f>VLOOKUP(A:A,[1]Sayfa1!$G:$K,5,0)</f>
        <v>ÇATALARMUT MAH. 259. SOK NO:2 /1 ILKADIM SAMSUN</v>
      </c>
      <c r="K1342" t="str">
        <f>VLOOKUP(A:A,[1]Sayfa1!$G:$M,7,0)</f>
        <v>SAMSUN</v>
      </c>
      <c r="L1342" t="str">
        <f>VLOOKUP(A:A,[1]Sayfa1!$G:$L,6,0)</f>
        <v>ILKADIM</v>
      </c>
      <c r="M1342" s="3">
        <v>1</v>
      </c>
      <c r="N1342" s="3">
        <v>1</v>
      </c>
      <c r="O1342" s="10">
        <v>0</v>
      </c>
      <c r="P1342" s="3">
        <v>0</v>
      </c>
    </row>
    <row r="1343" spans="1:16" x14ac:dyDescent="0.3">
      <c r="A1343" s="6" t="s">
        <v>4363</v>
      </c>
      <c r="B1343" s="6" t="s">
        <v>4364</v>
      </c>
      <c r="C1343" s="2" t="s">
        <v>18</v>
      </c>
      <c r="D1343" s="6">
        <v>41.338784099999998</v>
      </c>
      <c r="E1343" s="6">
        <v>36.253408299999997</v>
      </c>
      <c r="G1343" s="7" t="s">
        <v>1031</v>
      </c>
      <c r="H1343" s="7" t="s">
        <v>1031</v>
      </c>
      <c r="I1343" s="7" t="s">
        <v>1031</v>
      </c>
      <c r="J1343" t="str">
        <f>VLOOKUP(A:A,[1]Sayfa1!$G:$K,5,0)</f>
        <v>YENİ MAH. İSMET İNÖNÜ BULV. NO:22A-B ATAKUM SAMSUN</v>
      </c>
      <c r="K1343" t="str">
        <f>VLOOKUP(A:A,[1]Sayfa1!$G:$M,7,0)</f>
        <v>SAMSUN</v>
      </c>
      <c r="L1343" t="str">
        <f>VLOOKUP(A:A,[1]Sayfa1!$G:$L,6,0)</f>
        <v>ATAKUM</v>
      </c>
      <c r="M1343" s="3">
        <v>1</v>
      </c>
      <c r="N1343" s="3">
        <v>1</v>
      </c>
      <c r="O1343" s="10">
        <v>0</v>
      </c>
      <c r="P1343" s="3">
        <v>0</v>
      </c>
    </row>
    <row r="1344" spans="1:16" x14ac:dyDescent="0.3">
      <c r="A1344" s="6" t="s">
        <v>4365</v>
      </c>
      <c r="B1344" s="6" t="s">
        <v>4366</v>
      </c>
      <c r="C1344" s="2" t="s">
        <v>18</v>
      </c>
      <c r="D1344" s="6">
        <v>41.317331027599998</v>
      </c>
      <c r="E1344" s="6">
        <v>36.297943656199998</v>
      </c>
      <c r="G1344" s="7" t="s">
        <v>1031</v>
      </c>
      <c r="H1344" s="7" t="s">
        <v>1031</v>
      </c>
      <c r="I1344" s="7" t="s">
        <v>1031</v>
      </c>
      <c r="J1344" t="str">
        <f>VLOOKUP(A:A,[1]Sayfa1!$G:$K,5,0)</f>
        <v>KÜÇÜKKOLPINAR MAH. ALAÇAM CAD. NO:110A-B ATAKUM SAMSUN</v>
      </c>
      <c r="K1344" t="str">
        <f>VLOOKUP(A:A,[1]Sayfa1!$G:$M,7,0)</f>
        <v>SAMSUN</v>
      </c>
      <c r="L1344" t="str">
        <f>VLOOKUP(A:A,[1]Sayfa1!$G:$L,6,0)</f>
        <v>ATAKUM</v>
      </c>
      <c r="M1344" s="3">
        <v>1</v>
      </c>
      <c r="N1344" s="3">
        <v>1</v>
      </c>
      <c r="O1344" s="10">
        <v>0</v>
      </c>
      <c r="P1344" s="3">
        <v>0</v>
      </c>
    </row>
    <row r="1345" spans="1:16" x14ac:dyDescent="0.3">
      <c r="A1345" s="6" t="s">
        <v>4367</v>
      </c>
      <c r="B1345" s="6" t="s">
        <v>4368</v>
      </c>
      <c r="C1345" s="2" t="s">
        <v>18</v>
      </c>
      <c r="D1345" s="6">
        <v>41.3347306</v>
      </c>
      <c r="E1345" s="6">
        <v>36.250092299999999</v>
      </c>
      <c r="G1345" s="7" t="s">
        <v>1031</v>
      </c>
      <c r="H1345" s="7" t="s">
        <v>1031</v>
      </c>
      <c r="I1345" s="7" t="s">
        <v>1031</v>
      </c>
      <c r="J1345" t="str">
        <f>VLOOKUP(A:A,[1]Sayfa1!$G:$K,5,0)</f>
        <v>YENİ MAHALLE MAH. NECMETTİN ERBAKAN CD. NO:20 ATAKUM SAMSUN</v>
      </c>
      <c r="K1345" t="str">
        <f>VLOOKUP(A:A,[1]Sayfa1!$G:$M,7,0)</f>
        <v>SAMSUN</v>
      </c>
      <c r="L1345" t="str">
        <f>VLOOKUP(A:A,[1]Sayfa1!$G:$L,6,0)</f>
        <v>ATAKUM</v>
      </c>
      <c r="M1345" s="3">
        <v>1</v>
      </c>
      <c r="N1345" s="3">
        <v>1</v>
      </c>
      <c r="O1345" s="10">
        <v>0</v>
      </c>
      <c r="P1345" s="3">
        <v>0</v>
      </c>
    </row>
    <row r="1346" spans="1:16" x14ac:dyDescent="0.3">
      <c r="A1346" s="6" t="s">
        <v>4369</v>
      </c>
      <c r="B1346" s="6" t="s">
        <v>4370</v>
      </c>
      <c r="C1346" s="2" t="s">
        <v>18</v>
      </c>
      <c r="D1346" s="6">
        <v>41.317179801199998</v>
      </c>
      <c r="E1346" s="6">
        <v>36.325197918299999</v>
      </c>
      <c r="G1346" s="7" t="s">
        <v>1031</v>
      </c>
      <c r="H1346" s="7" t="s">
        <v>1031</v>
      </c>
      <c r="I1346" s="7" t="s">
        <v>1031</v>
      </c>
      <c r="J1346" t="str">
        <f>VLOOKUP(A:A,[1]Sayfa1!$G:$K,5,0)</f>
        <v>BARUTHANE MAH. ANADOLU SOK. NO:23A-10 23B-11 ILKADIM SAMSUN</v>
      </c>
      <c r="K1346" t="str">
        <f>VLOOKUP(A:A,[1]Sayfa1!$G:$M,7,0)</f>
        <v>SAMSUN</v>
      </c>
      <c r="L1346" t="str">
        <f>VLOOKUP(A:A,[1]Sayfa1!$G:$L,6,0)</f>
        <v>ILKADIM</v>
      </c>
      <c r="M1346" s="3">
        <v>1</v>
      </c>
      <c r="N1346" s="3">
        <v>1</v>
      </c>
      <c r="O1346" s="10">
        <v>0</v>
      </c>
      <c r="P1346" s="3">
        <v>0</v>
      </c>
    </row>
    <row r="1347" spans="1:16" x14ac:dyDescent="0.3">
      <c r="A1347" s="6" t="s">
        <v>4371</v>
      </c>
      <c r="B1347" s="6" t="s">
        <v>4372</v>
      </c>
      <c r="C1347" s="2" t="s">
        <v>18</v>
      </c>
      <c r="D1347" s="6">
        <v>41.319051093299997</v>
      </c>
      <c r="E1347" s="6">
        <v>36.2940694041</v>
      </c>
      <c r="G1347" s="7" t="s">
        <v>1031</v>
      </c>
      <c r="H1347" s="7" t="s">
        <v>1031</v>
      </c>
      <c r="I1347" s="7" t="s">
        <v>1031</v>
      </c>
      <c r="J1347" t="str">
        <f>VLOOKUP(A:A,[1]Sayfa1!$G:$K,5,0)</f>
        <v>KÜÇÜKKOLPINAR MAH. 614 SOK. NO:9A ATAKUM SAMSUN</v>
      </c>
      <c r="K1347" t="str">
        <f>VLOOKUP(A:A,[1]Sayfa1!$G:$M,7,0)</f>
        <v>SAMSUN</v>
      </c>
      <c r="L1347" t="str">
        <f>VLOOKUP(A:A,[1]Sayfa1!$G:$L,6,0)</f>
        <v>ATAKUM</v>
      </c>
      <c r="M1347" s="3">
        <v>1</v>
      </c>
      <c r="N1347" s="3">
        <v>1</v>
      </c>
      <c r="O1347" s="10">
        <v>0</v>
      </c>
      <c r="P1347" s="3">
        <v>0</v>
      </c>
    </row>
    <row r="1348" spans="1:16" x14ac:dyDescent="0.3">
      <c r="A1348" s="6" t="s">
        <v>4373</v>
      </c>
      <c r="B1348" s="6" t="s">
        <v>4374</v>
      </c>
      <c r="C1348" s="2" t="s">
        <v>18</v>
      </c>
      <c r="D1348" s="6">
        <v>41.338848900000002</v>
      </c>
      <c r="E1348" s="6">
        <v>36.244736199999998</v>
      </c>
      <c r="G1348" s="7" t="s">
        <v>1031</v>
      </c>
      <c r="H1348" s="7" t="s">
        <v>1031</v>
      </c>
      <c r="I1348" s="7" t="s">
        <v>1031</v>
      </c>
      <c r="J1348" t="str">
        <f>VLOOKUP(A:A,[1]Sayfa1!$G:$K,5,0)</f>
        <v>YENİ MAH. KIBRIS CAD. NO: 20-20A ATAKUM SAMSUN</v>
      </c>
      <c r="K1348" t="str">
        <f>VLOOKUP(A:A,[1]Sayfa1!$G:$M,7,0)</f>
        <v>SAMSUN</v>
      </c>
      <c r="L1348" t="str">
        <f>VLOOKUP(A:A,[1]Sayfa1!$G:$L,6,0)</f>
        <v>ATAKUM</v>
      </c>
      <c r="M1348" s="3">
        <v>1</v>
      </c>
      <c r="N1348" s="3">
        <v>1</v>
      </c>
      <c r="O1348" s="10">
        <v>0</v>
      </c>
      <c r="P1348" s="3">
        <v>0</v>
      </c>
    </row>
    <row r="1349" spans="1:16" x14ac:dyDescent="0.3">
      <c r="A1349" s="6" t="s">
        <v>4375</v>
      </c>
      <c r="B1349" s="6" t="s">
        <v>4376</v>
      </c>
      <c r="C1349" s="2" t="s">
        <v>18</v>
      </c>
      <c r="D1349" s="6">
        <v>41.334281648699999</v>
      </c>
      <c r="E1349" s="6">
        <v>36.2650846003</v>
      </c>
      <c r="G1349" s="7" t="s">
        <v>1031</v>
      </c>
      <c r="H1349" s="7" t="s">
        <v>1031</v>
      </c>
      <c r="I1349" s="7" t="s">
        <v>1031</v>
      </c>
      <c r="J1349" t="str">
        <f>VLOOKUP(A:A,[1]Sayfa1!$G:$K,5,0)</f>
        <v>CUMHURİYET MAH. LOZAN CAD. NO:26/A ATAKUM SAMSUN</v>
      </c>
      <c r="K1349" t="str">
        <f>VLOOKUP(A:A,[1]Sayfa1!$G:$M,7,0)</f>
        <v>SAMSUN</v>
      </c>
      <c r="L1349" t="str">
        <f>VLOOKUP(A:A,[1]Sayfa1!$G:$L,6,0)</f>
        <v>ATAKUM</v>
      </c>
      <c r="M1349" s="3">
        <v>1</v>
      </c>
      <c r="N1349" s="3">
        <v>1</v>
      </c>
      <c r="O1349" s="10">
        <v>0</v>
      </c>
      <c r="P1349" s="3">
        <v>0</v>
      </c>
    </row>
    <row r="1350" spans="1:16" x14ac:dyDescent="0.3">
      <c r="A1350" s="6" t="s">
        <v>4377</v>
      </c>
      <c r="B1350" s="6" t="s">
        <v>4378</v>
      </c>
      <c r="C1350" s="2" t="s">
        <v>18</v>
      </c>
      <c r="D1350" s="6">
        <v>41.323297368399999</v>
      </c>
      <c r="E1350" s="6">
        <v>36.294271638700003</v>
      </c>
      <c r="G1350" s="7" t="s">
        <v>1031</v>
      </c>
      <c r="H1350" s="7" t="s">
        <v>1031</v>
      </c>
      <c r="I1350" s="7" t="s">
        <v>1031</v>
      </c>
      <c r="J1350" t="str">
        <f>VLOOKUP(A:A,[1]Sayfa1!$G:$K,5,0)</f>
        <v>ESENEVLER MAH. 377. SOK. NO:6  ATAKUM SAMSUN</v>
      </c>
      <c r="K1350" t="str">
        <f>VLOOKUP(A:A,[1]Sayfa1!$G:$M,7,0)</f>
        <v>SAMSUN</v>
      </c>
      <c r="L1350" t="str">
        <f>VLOOKUP(A:A,[1]Sayfa1!$G:$L,6,0)</f>
        <v>ATAKUM</v>
      </c>
      <c r="M1350" s="3">
        <v>1</v>
      </c>
      <c r="N1350" s="3">
        <v>1</v>
      </c>
      <c r="O1350" s="10">
        <v>0</v>
      </c>
      <c r="P1350" s="3">
        <v>0</v>
      </c>
    </row>
    <row r="1351" spans="1:16" x14ac:dyDescent="0.3">
      <c r="A1351" s="6" t="s">
        <v>4379</v>
      </c>
      <c r="B1351" s="6" t="s">
        <v>4380</v>
      </c>
      <c r="C1351" s="2" t="s">
        <v>18</v>
      </c>
      <c r="D1351" s="6">
        <v>41.3312977</v>
      </c>
      <c r="E1351" s="6">
        <v>36.250663699999997</v>
      </c>
      <c r="G1351" s="7" t="s">
        <v>1031</v>
      </c>
      <c r="H1351" s="7" t="s">
        <v>1031</v>
      </c>
      <c r="I1351" s="7" t="s">
        <v>1031</v>
      </c>
      <c r="J1351" t="str">
        <f>VLOOKUP(A:A,[1]Sayfa1!$G:$K,5,0)</f>
        <v>YENİMAHALLE MAH AYDINLIK CAD. NO:74/B  ATAKUM SAMSUN</v>
      </c>
      <c r="K1351" t="str">
        <f>VLOOKUP(A:A,[1]Sayfa1!$G:$M,7,0)</f>
        <v>SAMSUN</v>
      </c>
      <c r="L1351" t="str">
        <f>VLOOKUP(A:A,[1]Sayfa1!$G:$L,6,0)</f>
        <v>ATAKUM</v>
      </c>
      <c r="M1351" s="3">
        <v>1</v>
      </c>
      <c r="N1351" s="3">
        <v>1</v>
      </c>
      <c r="O1351" s="10">
        <v>0</v>
      </c>
      <c r="P1351" s="3">
        <v>0</v>
      </c>
    </row>
    <row r="1352" spans="1:16" x14ac:dyDescent="0.3">
      <c r="A1352" s="6" t="s">
        <v>4381</v>
      </c>
      <c r="B1352" s="6" t="s">
        <v>4382</v>
      </c>
      <c r="C1352" s="2" t="s">
        <v>18</v>
      </c>
      <c r="D1352" s="6">
        <v>41.343615800000002</v>
      </c>
      <c r="E1352" s="6">
        <v>36.235426599999997</v>
      </c>
      <c r="G1352" s="7" t="s">
        <v>1031</v>
      </c>
      <c r="H1352" s="7" t="s">
        <v>1031</v>
      </c>
      <c r="I1352" s="7" t="s">
        <v>1031</v>
      </c>
      <c r="J1352" t="str">
        <f>VLOOKUP(A:A,[1]Sayfa1!$G:$K,5,0)</f>
        <v>ALANLI MAH 3417.CAD. NO:123A ATAKUM SAMSUN</v>
      </c>
      <c r="K1352" t="str">
        <f>VLOOKUP(A:A,[1]Sayfa1!$G:$M,7,0)</f>
        <v>SAMSUN</v>
      </c>
      <c r="L1352" t="str">
        <f>VLOOKUP(A:A,[1]Sayfa1!$G:$L,6,0)</f>
        <v>ATAKUM</v>
      </c>
      <c r="M1352" s="3">
        <v>1</v>
      </c>
      <c r="N1352" s="3">
        <v>1</v>
      </c>
      <c r="O1352" s="10">
        <v>0</v>
      </c>
      <c r="P1352" s="3">
        <v>0</v>
      </c>
    </row>
    <row r="1353" spans="1:16" x14ac:dyDescent="0.3">
      <c r="A1353" s="6" t="s">
        <v>4383</v>
      </c>
      <c r="B1353" s="6" t="s">
        <v>4384</v>
      </c>
      <c r="C1353" s="2" t="s">
        <v>18</v>
      </c>
      <c r="D1353" s="6">
        <v>41.329225899999997</v>
      </c>
      <c r="E1353" s="6">
        <v>36.2614017</v>
      </c>
      <c r="G1353" s="7" t="s">
        <v>1031</v>
      </c>
      <c r="H1353" s="7" t="s">
        <v>1031</v>
      </c>
      <c r="I1353" s="7" t="s">
        <v>1031</v>
      </c>
      <c r="J1353" t="str">
        <f>VLOOKUP(A:A,[1]Sayfa1!$G:$K,5,0)</f>
        <v>İSTİKLAL MAH 894. SOK. NO:26A ATAKUM SAMSUN</v>
      </c>
      <c r="K1353" t="str">
        <f>VLOOKUP(A:A,[1]Sayfa1!$G:$M,7,0)</f>
        <v>SAMSUN</v>
      </c>
      <c r="L1353" t="str">
        <f>VLOOKUP(A:A,[1]Sayfa1!$G:$L,6,0)</f>
        <v>ATAKUM</v>
      </c>
      <c r="M1353" s="3">
        <v>1</v>
      </c>
      <c r="N1353" s="3">
        <v>1</v>
      </c>
      <c r="O1353" s="10">
        <v>0</v>
      </c>
      <c r="P1353" s="3">
        <v>0</v>
      </c>
    </row>
    <row r="1354" spans="1:16" x14ac:dyDescent="0.3">
      <c r="A1354" s="6" t="s">
        <v>4385</v>
      </c>
      <c r="B1354" s="6" t="s">
        <v>4386</v>
      </c>
      <c r="C1354" s="2" t="s">
        <v>18</v>
      </c>
      <c r="D1354" s="6">
        <v>41.334537300000001</v>
      </c>
      <c r="E1354" s="6">
        <v>36.223597699999999</v>
      </c>
      <c r="G1354" s="7" t="s">
        <v>1031</v>
      </c>
      <c r="H1354" s="7" t="s">
        <v>1031</v>
      </c>
      <c r="I1354" s="7" t="s">
        <v>1031</v>
      </c>
      <c r="J1354" t="str">
        <f>VLOOKUP(A:A,[1]Sayfa1!$G:$K,5,0)</f>
        <v>ALANLI MAH 3609 CAD. NO:2BA ATAKUM SAMSUN</v>
      </c>
      <c r="K1354" t="str">
        <f>VLOOKUP(A:A,[1]Sayfa1!$G:$M,7,0)</f>
        <v>SAMSUN</v>
      </c>
      <c r="L1354" t="str">
        <f>VLOOKUP(A:A,[1]Sayfa1!$G:$L,6,0)</f>
        <v>ATAKUM</v>
      </c>
      <c r="M1354" s="3">
        <v>1</v>
      </c>
      <c r="N1354" s="3">
        <v>1</v>
      </c>
      <c r="O1354" s="10">
        <v>0</v>
      </c>
      <c r="P1354" s="3">
        <v>0</v>
      </c>
    </row>
    <row r="1355" spans="1:16" x14ac:dyDescent="0.3">
      <c r="A1355" s="6" t="s">
        <v>4387</v>
      </c>
      <c r="B1355" s="6" t="s">
        <v>4388</v>
      </c>
      <c r="C1355" s="2" t="s">
        <v>18</v>
      </c>
      <c r="D1355" s="6">
        <v>41.325451000000001</v>
      </c>
      <c r="E1355" s="6">
        <v>36.296000999999997</v>
      </c>
      <c r="G1355" s="7" t="s">
        <v>1031</v>
      </c>
      <c r="H1355" s="7" t="s">
        <v>1031</v>
      </c>
      <c r="I1355" s="7" t="s">
        <v>1031</v>
      </c>
      <c r="J1355" t="str">
        <f>VLOOKUP(A:A,[1]Sayfa1!$G:$K,5,0)</f>
        <v>ESENEVLER MAH 310. SOK. NO:19/A ATAKUM SAMSUN</v>
      </c>
      <c r="K1355" t="str">
        <f>VLOOKUP(A:A,[1]Sayfa1!$G:$M,7,0)</f>
        <v>SAMSUN</v>
      </c>
      <c r="L1355" t="str">
        <f>VLOOKUP(A:A,[1]Sayfa1!$G:$L,6,0)</f>
        <v>ATAKUM</v>
      </c>
      <c r="M1355" s="3">
        <v>1</v>
      </c>
      <c r="N1355" s="3">
        <v>1</v>
      </c>
      <c r="O1355" s="10">
        <v>0</v>
      </c>
      <c r="P1355" s="3">
        <v>0</v>
      </c>
    </row>
    <row r="1356" spans="1:16" x14ac:dyDescent="0.3">
      <c r="A1356" s="6" t="s">
        <v>4389</v>
      </c>
      <c r="B1356" s="6" t="s">
        <v>4390</v>
      </c>
      <c r="C1356" s="2" t="s">
        <v>18</v>
      </c>
      <c r="D1356" s="6">
        <v>41.310777000000002</v>
      </c>
      <c r="E1356" s="6">
        <v>36.312961999999999</v>
      </c>
      <c r="G1356" s="7" t="s">
        <v>1031</v>
      </c>
      <c r="H1356" s="7" t="s">
        <v>1031</v>
      </c>
      <c r="I1356" s="7" t="s">
        <v>1031</v>
      </c>
      <c r="J1356" t="str">
        <f>VLOOKUP(A:A,[1]Sayfa1!$G:$K,5,0)</f>
        <v>KALKANCI MAH ŞEHİT POLİS MEMURU ATAKAN ARSLAN SK NO:90/10 ILKADIM SAMSUN</v>
      </c>
      <c r="K1356" t="str">
        <f>VLOOKUP(A:A,[1]Sayfa1!$G:$M,7,0)</f>
        <v>SAMSUN</v>
      </c>
      <c r="L1356" t="str">
        <f>VLOOKUP(A:A,[1]Sayfa1!$G:$L,6,0)</f>
        <v>ILKADIM</v>
      </c>
      <c r="M1356" s="3">
        <v>1</v>
      </c>
      <c r="N1356" s="3">
        <v>1</v>
      </c>
      <c r="O1356" s="10">
        <v>0</v>
      </c>
      <c r="P1356" s="3">
        <v>0</v>
      </c>
    </row>
    <row r="1357" spans="1:16" x14ac:dyDescent="0.3">
      <c r="A1357" s="6" t="s">
        <v>4391</v>
      </c>
      <c r="B1357" s="6" t="s">
        <v>4392</v>
      </c>
      <c r="C1357" s="2" t="s">
        <v>18</v>
      </c>
      <c r="D1357" s="6">
        <v>41.347445</v>
      </c>
      <c r="E1357" s="6">
        <v>36.235008999999998</v>
      </c>
      <c r="G1357" s="7" t="s">
        <v>1031</v>
      </c>
      <c r="H1357" s="7" t="s">
        <v>1031</v>
      </c>
      <c r="I1357" s="7" t="s">
        <v>1031</v>
      </c>
      <c r="J1357" t="str">
        <f>VLOOKUP(A:A,[1]Sayfa1!$G:$K,5,0)</f>
        <v>YENİMAHALLE MAH İZMIR CADDESİ NO:16A ATAKUM SAMSUN</v>
      </c>
      <c r="K1357" t="str">
        <f>VLOOKUP(A:A,[1]Sayfa1!$G:$M,7,0)</f>
        <v>SAMSUN</v>
      </c>
      <c r="L1357" t="str">
        <f>VLOOKUP(A:A,[1]Sayfa1!$G:$L,6,0)</f>
        <v>ATAKUM</v>
      </c>
      <c r="M1357" s="3">
        <v>1</v>
      </c>
      <c r="N1357" s="3">
        <v>1</v>
      </c>
      <c r="O1357" s="10">
        <v>0</v>
      </c>
      <c r="P1357" s="3">
        <v>0</v>
      </c>
    </row>
    <row r="1358" spans="1:16" x14ac:dyDescent="0.3">
      <c r="A1358" s="6" t="s">
        <v>4393</v>
      </c>
      <c r="B1358" s="6" t="s">
        <v>4394</v>
      </c>
      <c r="C1358" s="2" t="s">
        <v>18</v>
      </c>
      <c r="D1358" s="6">
        <v>41.305637699999998</v>
      </c>
      <c r="E1358" s="6">
        <v>36.277624699999997</v>
      </c>
      <c r="G1358" s="7" t="s">
        <v>1031</v>
      </c>
      <c r="H1358" s="7" t="s">
        <v>1031</v>
      </c>
      <c r="I1358" s="7" t="s">
        <v>1031</v>
      </c>
      <c r="J1358" t="str">
        <f>VLOOKUP(A:A,[1]Sayfa1!$G:$K,5,0)</f>
        <v>DERECİK MAH RECEP TAYİP ERDOĞAN BULV. NO:88/BA ILKADIM SAMSUN</v>
      </c>
      <c r="K1358" t="str">
        <f>VLOOKUP(A:A,[1]Sayfa1!$G:$M,7,0)</f>
        <v>SAMSUN</v>
      </c>
      <c r="L1358" t="str">
        <f>VLOOKUP(A:A,[1]Sayfa1!$G:$L,6,0)</f>
        <v>ILKADIM</v>
      </c>
      <c r="M1358" s="3">
        <v>1</v>
      </c>
      <c r="N1358" s="3">
        <v>1</v>
      </c>
      <c r="O1358" s="10">
        <v>0</v>
      </c>
      <c r="P1358" s="3">
        <v>0</v>
      </c>
    </row>
    <row r="1359" spans="1:16" x14ac:dyDescent="0.3">
      <c r="A1359" s="6" t="s">
        <v>4395</v>
      </c>
      <c r="B1359" s="6" t="s">
        <v>4396</v>
      </c>
      <c r="C1359" s="2" t="s">
        <v>18</v>
      </c>
      <c r="D1359" s="6">
        <v>41.267041599999999</v>
      </c>
      <c r="E1359" s="6">
        <v>36.315777500000003</v>
      </c>
      <c r="G1359" s="7" t="s">
        <v>1031</v>
      </c>
      <c r="H1359" s="7" t="s">
        <v>1031</v>
      </c>
      <c r="I1359" s="7" t="s">
        <v>1031</v>
      </c>
      <c r="J1359" t="str">
        <f>VLOOKUP(A:A,[1]Sayfa1!$G:$K,5,0)</f>
        <v>KIŞLA MAH BEYKOZ SOK. NO:15 E-D-C-AB ILKADIM SAMSUN</v>
      </c>
      <c r="K1359" t="str">
        <f>VLOOKUP(A:A,[1]Sayfa1!$G:$M,7,0)</f>
        <v>SAMSUN</v>
      </c>
      <c r="L1359" t="str">
        <f>VLOOKUP(A:A,[1]Sayfa1!$G:$L,6,0)</f>
        <v>ILKADIM</v>
      </c>
      <c r="M1359" s="3">
        <v>1</v>
      </c>
      <c r="N1359" s="3">
        <v>1</v>
      </c>
      <c r="O1359" s="10">
        <v>0</v>
      </c>
      <c r="P1359" s="3">
        <v>0</v>
      </c>
    </row>
    <row r="1360" spans="1:16" x14ac:dyDescent="0.3">
      <c r="A1360" s="6" t="s">
        <v>4397</v>
      </c>
      <c r="B1360" s="6" t="s">
        <v>4398</v>
      </c>
      <c r="C1360" s="2" t="s">
        <v>18</v>
      </c>
      <c r="D1360" s="6">
        <v>41.121831899999997</v>
      </c>
      <c r="E1360" s="6">
        <v>37.2955726</v>
      </c>
      <c r="G1360" s="7" t="s">
        <v>1031</v>
      </c>
      <c r="H1360" s="7" t="s">
        <v>1031</v>
      </c>
      <c r="I1360" s="7" t="s">
        <v>1031</v>
      </c>
      <c r="J1360" t="str">
        <f>VLOOKUP(A:A,[1]Sayfa1!$G:$K,5,0)</f>
        <v>FEVZİ ÇAKMAK MAH FEVZİ ÇAKMAK CAD. NO:252/A ÜNYE ORDU</v>
      </c>
      <c r="K1360" t="str">
        <f>VLOOKUP(A:A,[1]Sayfa1!$G:$M,7,0)</f>
        <v>ORDU</v>
      </c>
      <c r="L1360" t="str">
        <f>VLOOKUP(A:A,[1]Sayfa1!$G:$L,6,0)</f>
        <v>ÜNYE</v>
      </c>
      <c r="M1360" s="3">
        <v>1</v>
      </c>
      <c r="N1360" s="3">
        <v>1</v>
      </c>
      <c r="O1360" s="10">
        <v>0</v>
      </c>
      <c r="P1360" s="3">
        <v>0</v>
      </c>
    </row>
    <row r="1361" spans="1:16" x14ac:dyDescent="0.3">
      <c r="A1361" s="6" t="s">
        <v>4399</v>
      </c>
      <c r="B1361" s="6" t="s">
        <v>4400</v>
      </c>
      <c r="C1361" s="2" t="s">
        <v>18</v>
      </c>
      <c r="D1361" s="6">
        <v>41.286489400000001</v>
      </c>
      <c r="E1361" s="6">
        <v>36.307461099999998</v>
      </c>
      <c r="G1361" s="7" t="s">
        <v>1031</v>
      </c>
      <c r="H1361" s="7" t="s">
        <v>1031</v>
      </c>
      <c r="I1361" s="7" t="s">
        <v>1031</v>
      </c>
      <c r="J1361" t="str">
        <f>VLOOKUP(A:A,[1]Sayfa1!$G:$K,5,0)</f>
        <v>ÇATALARMUT MAH 182 SK. NO:2 D:10 ILKADIM SAMSUN</v>
      </c>
      <c r="K1361" t="str">
        <f>VLOOKUP(A:A,[1]Sayfa1!$G:$M,7,0)</f>
        <v>SAMSUN</v>
      </c>
      <c r="L1361" t="str">
        <f>VLOOKUP(A:A,[1]Sayfa1!$G:$L,6,0)</f>
        <v>ILKADIM</v>
      </c>
      <c r="M1361" s="3">
        <v>1</v>
      </c>
      <c r="N1361" s="3">
        <v>1</v>
      </c>
      <c r="O1361" s="10">
        <v>0</v>
      </c>
      <c r="P1361" s="3">
        <v>0</v>
      </c>
    </row>
    <row r="1362" spans="1:16" x14ac:dyDescent="0.3">
      <c r="A1362" s="2" t="s">
        <v>4401</v>
      </c>
      <c r="B1362" s="2" t="s">
        <v>4402</v>
      </c>
      <c r="C1362" s="2" t="s">
        <v>18</v>
      </c>
      <c r="D1362" s="5">
        <v>41.315935813499998</v>
      </c>
      <c r="E1362" s="5">
        <v>36.267051126799998</v>
      </c>
      <c r="G1362" s="7" t="s">
        <v>1031</v>
      </c>
      <c r="H1362" s="7" t="s">
        <v>1031</v>
      </c>
      <c r="I1362" s="7" t="s">
        <v>1031</v>
      </c>
      <c r="J1362" s="2" t="s">
        <v>4407</v>
      </c>
      <c r="K1362" s="2" t="s">
        <v>22</v>
      </c>
      <c r="L1362" s="2" t="s">
        <v>23</v>
      </c>
      <c r="M1362" s="3">
        <v>0</v>
      </c>
      <c r="N1362" s="3">
        <v>0</v>
      </c>
      <c r="O1362" s="2" t="s">
        <v>54</v>
      </c>
      <c r="P1362" s="3">
        <v>0</v>
      </c>
    </row>
    <row r="1363" spans="1:16" x14ac:dyDescent="0.3">
      <c r="A1363" s="2" t="s">
        <v>4403</v>
      </c>
      <c r="B1363" s="2" t="s">
        <v>4404</v>
      </c>
      <c r="C1363" s="2" t="s">
        <v>18</v>
      </c>
      <c r="D1363" s="5">
        <v>41.331584999999997</v>
      </c>
      <c r="E1363" s="5">
        <v>36.273916700000001</v>
      </c>
      <c r="G1363" s="7" t="s">
        <v>1031</v>
      </c>
      <c r="H1363" s="7" t="s">
        <v>1031</v>
      </c>
      <c r="I1363" s="7" t="s">
        <v>1031</v>
      </c>
      <c r="J1363" s="2" t="s">
        <v>4408</v>
      </c>
      <c r="K1363" s="2" t="s">
        <v>22</v>
      </c>
      <c r="L1363" s="2" t="s">
        <v>23</v>
      </c>
      <c r="M1363" s="3">
        <v>0</v>
      </c>
      <c r="N1363" s="3">
        <v>0</v>
      </c>
      <c r="O1363" s="2" t="s">
        <v>54</v>
      </c>
      <c r="P1363" s="3">
        <v>0</v>
      </c>
    </row>
    <row r="1364" spans="1:16" x14ac:dyDescent="0.3">
      <c r="A1364" s="2" t="s">
        <v>1496</v>
      </c>
      <c r="B1364" s="2" t="s">
        <v>1497</v>
      </c>
      <c r="C1364" s="2" t="s">
        <v>18</v>
      </c>
      <c r="D1364" s="5">
        <v>41.565622500000003</v>
      </c>
      <c r="E1364" s="5">
        <v>35.888650300000002</v>
      </c>
      <c r="G1364" s="7" t="s">
        <v>1031</v>
      </c>
      <c r="H1364" s="7" t="s">
        <v>1031</v>
      </c>
      <c r="I1364" s="7" t="s">
        <v>1031</v>
      </c>
      <c r="J1364" s="2" t="s">
        <v>4409</v>
      </c>
      <c r="K1364" s="2" t="s">
        <v>22</v>
      </c>
      <c r="L1364" s="2" t="s">
        <v>53</v>
      </c>
      <c r="M1364" s="3">
        <v>0</v>
      </c>
      <c r="N1364" s="3">
        <v>1</v>
      </c>
      <c r="O1364" s="2" t="s">
        <v>24</v>
      </c>
      <c r="P1364" s="3">
        <v>0</v>
      </c>
    </row>
    <row r="1365" spans="1:16" x14ac:dyDescent="0.3">
      <c r="A1365" s="2" t="s">
        <v>4405</v>
      </c>
      <c r="B1365" s="2" t="s">
        <v>4406</v>
      </c>
      <c r="C1365" s="2" t="s">
        <v>18</v>
      </c>
      <c r="D1365" s="5">
        <v>41.257732599999997</v>
      </c>
      <c r="E1365" s="5">
        <v>36.319775399999997</v>
      </c>
      <c r="G1365" s="7" t="s">
        <v>1031</v>
      </c>
      <c r="H1365" s="7" t="s">
        <v>1031</v>
      </c>
      <c r="I1365" s="7" t="s">
        <v>1031</v>
      </c>
      <c r="J1365" s="2" t="s">
        <v>4410</v>
      </c>
      <c r="K1365" s="2" t="s">
        <v>22</v>
      </c>
      <c r="L1365" s="2" t="s">
        <v>32</v>
      </c>
      <c r="M1365" s="3">
        <v>0</v>
      </c>
      <c r="N1365" s="3">
        <v>1</v>
      </c>
      <c r="O1365" s="2" t="s">
        <v>54</v>
      </c>
      <c r="P1365" s="3">
        <v>0</v>
      </c>
    </row>
  </sheetData>
  <autoFilter ref="A1:P1041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Musteri Listesi Raporu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Operasyon</cp:lastModifiedBy>
  <dcterms:modified xsi:type="dcterms:W3CDTF">2025-12-09T07:00:35Z</dcterms:modified>
</cp:coreProperties>
</file>